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tiy\Drive@PoltekSSN\Riset\PQC\test-2304\data\"/>
    </mc:Choice>
  </mc:AlternateContent>
  <xr:revisionPtr revIDLastSave="0" documentId="13_ncr:1_{8F47DA07-2C95-48DD-A2DB-A66B6F4C1E98}" xr6:coauthVersionLast="47" xr6:coauthVersionMax="47" xr10:uidLastSave="{00000000-0000-0000-0000-000000000000}"/>
  <bookViews>
    <workbookView xWindow="-108" yWindow="-108" windowWidth="23256" windowHeight="12456" activeTab="1" xr2:uid="{0639E320-3983-4F4A-9624-53778AFC6F5E}"/>
  </bookViews>
  <sheets>
    <sheet name="Power" sheetId="1" r:id="rId1"/>
    <sheet name="Runtime" sheetId="2" r:id="rId2"/>
    <sheet name="Energy" sheetId="4" r:id="rId3"/>
    <sheet name="Energy_raw" sheetId="5" r:id="rId4"/>
    <sheet name="Anova runtime" sheetId="3" r:id="rId5"/>
    <sheet name="Anova energy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21" i="2" l="1"/>
  <c r="K214" i="2"/>
  <c r="I28" i="1"/>
  <c r="I27" i="1"/>
  <c r="I26" i="1"/>
  <c r="H28" i="1"/>
  <c r="H27" i="1"/>
  <c r="H26" i="1"/>
  <c r="I25" i="1"/>
  <c r="H25" i="1"/>
  <c r="I24" i="1"/>
  <c r="H24" i="1"/>
  <c r="D77" i="6"/>
  <c r="D78" i="6"/>
  <c r="F78" i="6" s="1"/>
  <c r="C78" i="6"/>
  <c r="C77" i="6"/>
  <c r="E77" i="6"/>
  <c r="F77" i="6"/>
  <c r="R147" i="5"/>
  <c r="U147" i="5" s="1"/>
  <c r="Q147" i="5"/>
  <c r="T147" i="5" s="1"/>
  <c r="R112" i="5"/>
  <c r="U112" i="5" s="1"/>
  <c r="Q112" i="5"/>
  <c r="T112" i="5" s="1"/>
  <c r="R77" i="5"/>
  <c r="U77" i="5" s="1"/>
  <c r="Q77" i="5"/>
  <c r="T77" i="5" s="1"/>
  <c r="R42" i="5"/>
  <c r="U42" i="5" s="1"/>
  <c r="Q42" i="5"/>
  <c r="T42" i="5" s="1"/>
  <c r="R7" i="5"/>
  <c r="U7" i="5" s="1"/>
  <c r="Q7" i="5"/>
  <c r="T7" i="5" s="1"/>
  <c r="G182" i="5"/>
  <c r="J182" i="5" s="1"/>
  <c r="F182" i="5"/>
  <c r="I182" i="5" s="1"/>
  <c r="G147" i="5"/>
  <c r="J147" i="5" s="1"/>
  <c r="F147" i="5"/>
  <c r="I147" i="5" s="1"/>
  <c r="G112" i="5"/>
  <c r="J112" i="5" s="1"/>
  <c r="F112" i="5"/>
  <c r="I112" i="5" s="1"/>
  <c r="F77" i="5"/>
  <c r="I77" i="5" s="1"/>
  <c r="G77" i="5"/>
  <c r="J77" i="5" s="1"/>
  <c r="G42" i="5"/>
  <c r="J42" i="5" s="1"/>
  <c r="F42" i="5"/>
  <c r="I42" i="5" s="1"/>
  <c r="G7" i="5"/>
  <c r="H7" i="5" s="1"/>
  <c r="F7" i="5"/>
  <c r="I7" i="5" s="1"/>
  <c r="G79" i="3"/>
  <c r="G78" i="3"/>
  <c r="F78" i="3"/>
  <c r="F79" i="3"/>
  <c r="E79" i="3"/>
  <c r="D79" i="3"/>
  <c r="E78" i="3"/>
  <c r="D78" i="3"/>
  <c r="J24" i="1" l="1"/>
  <c r="J28" i="1"/>
  <c r="J27" i="1"/>
  <c r="J26" i="1"/>
  <c r="J25" i="1"/>
  <c r="E78" i="6"/>
  <c r="S147" i="5"/>
  <c r="S112" i="5"/>
  <c r="S77" i="5"/>
  <c r="S42" i="5"/>
  <c r="S7" i="5"/>
  <c r="H182" i="5"/>
  <c r="H147" i="5"/>
  <c r="H112" i="5"/>
  <c r="H77" i="5"/>
  <c r="H42" i="5"/>
  <c r="J7" i="5"/>
  <c r="R172" i="2" l="1"/>
  <c r="V172" i="2" s="1"/>
  <c r="K17" i="2" s="1"/>
  <c r="R138" i="2"/>
  <c r="V138" i="2" s="1"/>
  <c r="K16" i="2" s="1"/>
  <c r="R104" i="2"/>
  <c r="V104" i="2" s="1"/>
  <c r="K15" i="2" s="1"/>
  <c r="R70" i="2"/>
  <c r="V70" i="2" s="1"/>
  <c r="K14" i="2" s="1"/>
  <c r="R37" i="2"/>
  <c r="V37" i="2" s="1"/>
  <c r="K13" i="2" s="1"/>
  <c r="F206" i="2"/>
  <c r="I12" i="2" s="1"/>
  <c r="F172" i="2"/>
  <c r="J172" i="2" s="1"/>
  <c r="K11" i="2" s="1"/>
  <c r="F138" i="2"/>
  <c r="J138" i="2" s="1"/>
  <c r="K10" i="2" s="1"/>
  <c r="F104" i="2"/>
  <c r="J104" i="2" s="1"/>
  <c r="K9" i="2" s="1"/>
  <c r="F70" i="2"/>
  <c r="I8" i="2" s="1"/>
  <c r="E37" i="2"/>
  <c r="I7" i="2" s="1"/>
  <c r="P172" i="2"/>
  <c r="H17" i="2" s="1"/>
  <c r="P138" i="2"/>
  <c r="H16" i="2" s="1"/>
  <c r="P104" i="2"/>
  <c r="H15" i="2" s="1"/>
  <c r="P70" i="2"/>
  <c r="H14" i="2" s="1"/>
  <c r="P37" i="2"/>
  <c r="H13" i="2" s="1"/>
  <c r="D206" i="2"/>
  <c r="H12" i="2" s="1"/>
  <c r="D172" i="2"/>
  <c r="H11" i="2" s="1"/>
  <c r="D138" i="2"/>
  <c r="H10" i="2" s="1"/>
  <c r="D104" i="2"/>
  <c r="H9" i="2" s="1"/>
  <c r="D70" i="2"/>
  <c r="H8" i="2" s="1"/>
  <c r="C37" i="2"/>
  <c r="J206" i="2" l="1"/>
  <c r="K12" i="2" s="1"/>
  <c r="I9" i="2"/>
  <c r="H70" i="2"/>
  <c r="J8" i="2" s="1"/>
  <c r="I13" i="2"/>
  <c r="J70" i="2"/>
  <c r="K8" i="2" s="1"/>
  <c r="I14" i="2"/>
  <c r="H206" i="2"/>
  <c r="J12" i="2" s="1"/>
  <c r="T172" i="2"/>
  <c r="J17" i="2" s="1"/>
  <c r="I17" i="2"/>
  <c r="G37" i="2"/>
  <c r="J7" i="2" s="1"/>
  <c r="I37" i="2"/>
  <c r="K7" i="2" s="1"/>
  <c r="I15" i="2"/>
  <c r="I10" i="2"/>
  <c r="I16" i="2"/>
  <c r="I11" i="2"/>
  <c r="T138" i="2"/>
  <c r="J16" i="2" s="1"/>
  <c r="T104" i="2"/>
  <c r="J15" i="2" s="1"/>
  <c r="T70" i="2"/>
  <c r="J14" i="2" s="1"/>
  <c r="T37" i="2"/>
  <c r="J13" i="2" s="1"/>
  <c r="H172" i="2"/>
  <c r="J11" i="2" s="1"/>
  <c r="H138" i="2"/>
  <c r="J10" i="2" s="1"/>
  <c r="H104" i="2"/>
  <c r="J9" i="2" s="1"/>
</calcChain>
</file>

<file path=xl/sharedStrings.xml><?xml version="1.0" encoding="utf-8"?>
<sst xmlns="http://schemas.openxmlformats.org/spreadsheetml/2006/main" count="1982" uniqueCount="727">
  <si>
    <t>run_id</t>
  </si>
  <si>
    <t>phase</t>
  </si>
  <si>
    <t>mean_voltage</t>
  </si>
  <si>
    <t>mean_current</t>
  </si>
  <si>
    <t>mean_power</t>
  </si>
  <si>
    <t>std_power</t>
  </si>
  <si>
    <t>ci95_power_low</t>
  </si>
  <si>
    <t>ci95_power_high</t>
  </si>
  <si>
    <t>mean_energy</t>
  </si>
  <si>
    <t>std_energy</t>
  </si>
  <si>
    <t>ci95_energy_low</t>
  </si>
  <si>
    <t>ci95_energy_high</t>
  </si>
  <si>
    <t>active</t>
  </si>
  <si>
    <t>idle_post</t>
  </si>
  <si>
    <t>Classic-McEliece-348864</t>
  </si>
  <si>
    <t>FrodoKEM-640-AES</t>
  </si>
  <si>
    <t>Kyber512</t>
  </si>
  <si>
    <t>ML-KEM-512</t>
  </si>
  <si>
    <t>ML-KEM-768_run26_waveform</t>
  </si>
  <si>
    <t>ML-KEM-768</t>
  </si>
  <si>
    <t>SNTRUP761</t>
  </si>
  <si>
    <t>Algorithm</t>
  </si>
  <si>
    <t>Idle (W)</t>
  </si>
  <si>
    <t>Active (W)</t>
  </si>
  <si>
    <t>ΔPower (W)</t>
  </si>
  <si>
    <t>Classic-McEliece</t>
  </si>
  <si>
    <t>algorithm</t>
  </si>
  <si>
    <t>repetition</t>
  </si>
  <si>
    <t>runtime_s</t>
  </si>
  <si>
    <t>latency_ms</t>
  </si>
  <si>
    <t>FrodoKEM-640-AES_run01</t>
  </si>
  <si>
    <t>FrodoKEM-640-AES_run02</t>
  </si>
  <si>
    <t>FrodoKEM-640-AES_run03</t>
  </si>
  <si>
    <t>FrodoKEM-640-AES_run04</t>
  </si>
  <si>
    <t>FrodoKEM-640-AES_run05</t>
  </si>
  <si>
    <t>FrodoKEM-640-AES_run06</t>
  </si>
  <si>
    <t>FrodoKEM-640-AES_run07</t>
  </si>
  <si>
    <t>FrodoKEM-640-AES_run08</t>
  </si>
  <si>
    <t>FrodoKEM-640-AES_run09</t>
  </si>
  <si>
    <t>FrodoKEM-640-AES_run10</t>
  </si>
  <si>
    <t>FrodoKEM-640-AES_run11</t>
  </si>
  <si>
    <t>FrodoKEM-640-AES_run12</t>
  </si>
  <si>
    <t>FrodoKEM-640-AES_run13</t>
  </si>
  <si>
    <t>FrodoKEM-640-AES_run14</t>
  </si>
  <si>
    <t>FrodoKEM-640-AES_run15</t>
  </si>
  <si>
    <t>FrodoKEM-640-AES_run16</t>
  </si>
  <si>
    <t>FrodoKEM-640-AES_run17</t>
  </si>
  <si>
    <t>FrodoKEM-640-AES_run18</t>
  </si>
  <si>
    <t>FrodoKEM-640-AES_run19</t>
  </si>
  <si>
    <t>FrodoKEM-640-AES_run20</t>
  </si>
  <si>
    <t>FrodoKEM-640-AES_run21</t>
  </si>
  <si>
    <t>FrodoKEM-640-AES_run22</t>
  </si>
  <si>
    <t>FrodoKEM-640-AES_run23</t>
  </si>
  <si>
    <t>FrodoKEM-640-AES_run24</t>
  </si>
  <si>
    <t>FrodoKEM-640-AES_run25</t>
  </si>
  <si>
    <t>FrodoKEM-640-AES_run26</t>
  </si>
  <si>
    <t>FrodoKEM-640-AES_run27</t>
  </si>
  <si>
    <t>FrodoKEM-640-AES_run28</t>
  </si>
  <si>
    <t>FrodoKEM-640-AES_run29</t>
  </si>
  <si>
    <t>FrodoKEM-640-AES_run30</t>
  </si>
  <si>
    <t>Kyber512_run01</t>
  </si>
  <si>
    <t>Kyber512_run02</t>
  </si>
  <si>
    <t>Kyber512_run03</t>
  </si>
  <si>
    <t>Kyber512_run04</t>
  </si>
  <si>
    <t>Kyber512_run05</t>
  </si>
  <si>
    <t>Kyber512_run06</t>
  </si>
  <si>
    <t>Kyber512_run07</t>
  </si>
  <si>
    <t>Kyber512_run08</t>
  </si>
  <si>
    <t>Kyber512_run09</t>
  </si>
  <si>
    <t>Kyber512_run10</t>
  </si>
  <si>
    <t>Kyber512_run11</t>
  </si>
  <si>
    <t>Kyber512_run12</t>
  </si>
  <si>
    <t>Kyber512_run13</t>
  </si>
  <si>
    <t>Kyber512_run14</t>
  </si>
  <si>
    <t>Kyber512_run15</t>
  </si>
  <si>
    <t>Kyber512_run16</t>
  </si>
  <si>
    <t>Kyber512_run17</t>
  </si>
  <si>
    <t>Kyber512_run18</t>
  </si>
  <si>
    <t>Kyber512_run19</t>
  </si>
  <si>
    <t>Kyber512_run20</t>
  </si>
  <si>
    <t>Kyber512_run21</t>
  </si>
  <si>
    <t>Kyber512_run22</t>
  </si>
  <si>
    <t>Kyber512_run23</t>
  </si>
  <si>
    <t>Kyber512_run24</t>
  </si>
  <si>
    <t>Kyber512_run25</t>
  </si>
  <si>
    <t>Kyber512_run26</t>
  </si>
  <si>
    <t>Kyber512_run27</t>
  </si>
  <si>
    <t>Kyber512_run28</t>
  </si>
  <si>
    <t>Kyber512_run29</t>
  </si>
  <si>
    <t>Kyber512_run30</t>
  </si>
  <si>
    <t>ML-KEM-512_run01</t>
  </si>
  <si>
    <t>ML-KEM-512_run02</t>
  </si>
  <si>
    <t>ML-KEM-512_run03</t>
  </si>
  <si>
    <t>ML-KEM-512_run04</t>
  </si>
  <si>
    <t>ML-KEM-512_run05</t>
  </si>
  <si>
    <t>ML-KEM-512_run06</t>
  </si>
  <si>
    <t>ML-KEM-512_run07</t>
  </si>
  <si>
    <t>ML-KEM-512_run08</t>
  </si>
  <si>
    <t>ML-KEM-512_run09</t>
  </si>
  <si>
    <t>ML-KEM-512_run10</t>
  </si>
  <si>
    <t>ML-KEM-512_run11</t>
  </si>
  <si>
    <t>ML-KEM-512_run12</t>
  </si>
  <si>
    <t>ML-KEM-512_run13</t>
  </si>
  <si>
    <t>ML-KEM-512_run14</t>
  </si>
  <si>
    <t>ML-KEM-512_run15</t>
  </si>
  <si>
    <t>ML-KEM-512_run16</t>
  </si>
  <si>
    <t>ML-KEM-512_run17</t>
  </si>
  <si>
    <t>ML-KEM-512_run18</t>
  </si>
  <si>
    <t>ML-KEM-512_run19</t>
  </si>
  <si>
    <t>ML-KEM-512_run20</t>
  </si>
  <si>
    <t>ML-KEM-512_run21</t>
  </si>
  <si>
    <t>ML-KEM-512_run22</t>
  </si>
  <si>
    <t>ML-KEM-512_run23</t>
  </si>
  <si>
    <t>ML-KEM-512_run24</t>
  </si>
  <si>
    <t>ML-KEM-512_run25</t>
  </si>
  <si>
    <t>ML-KEM-512_run26</t>
  </si>
  <si>
    <t>ML-KEM-512_run27</t>
  </si>
  <si>
    <t>ML-KEM-512_run28</t>
  </si>
  <si>
    <t>ML-KEM-512_run29</t>
  </si>
  <si>
    <t>ML-KEM-512_run30</t>
  </si>
  <si>
    <t>ML-KEM-768_run01</t>
  </si>
  <si>
    <t>ML-KEM-768_run02</t>
  </si>
  <si>
    <t>ML-KEM-768_run03</t>
  </si>
  <si>
    <t>ML-KEM-768_run04</t>
  </si>
  <si>
    <t>ML-KEM-768_run05</t>
  </si>
  <si>
    <t>ML-KEM-768_run06</t>
  </si>
  <si>
    <t>ML-KEM-768_run07</t>
  </si>
  <si>
    <t>ML-KEM-768_run08</t>
  </si>
  <si>
    <t>ML-KEM-768_run09</t>
  </si>
  <si>
    <t>ML-KEM-768_run10</t>
  </si>
  <si>
    <t>ML-KEM-768_run11</t>
  </si>
  <si>
    <t>ML-KEM-768_run12</t>
  </si>
  <si>
    <t>ML-KEM-768_run13</t>
  </si>
  <si>
    <t>ML-KEM-768_run14</t>
  </si>
  <si>
    <t>ML-KEM-768_run15</t>
  </si>
  <si>
    <t>ML-KEM-768_run16</t>
  </si>
  <si>
    <t>ML-KEM-768_run17</t>
  </si>
  <si>
    <t>ML-KEM-768_run18</t>
  </si>
  <si>
    <t>ML-KEM-768_run19</t>
  </si>
  <si>
    <t>ML-KEM-768_run20</t>
  </si>
  <si>
    <t>ML-KEM-768_run21</t>
  </si>
  <si>
    <t>ML-KEM-768_run22</t>
  </si>
  <si>
    <t>ML-KEM-768_run23</t>
  </si>
  <si>
    <t>ML-KEM-768_run24</t>
  </si>
  <si>
    <t>ML-KEM-768_run25</t>
  </si>
  <si>
    <t>ML-KEM-768_run26</t>
  </si>
  <si>
    <t>ML-KEM-768_run27</t>
  </si>
  <si>
    <t>ML-KEM-768_run28</t>
  </si>
  <si>
    <t>ML-KEM-768_run29</t>
  </si>
  <si>
    <t>ML-KEM-768_run30</t>
  </si>
  <si>
    <t>SNTRUP761_run01</t>
  </si>
  <si>
    <t>SNTRUP761_run02</t>
  </si>
  <si>
    <t>SNTRUP761_run03</t>
  </si>
  <si>
    <t>SNTRUP761_run04</t>
  </si>
  <si>
    <t>SNTRUP761_run05</t>
  </si>
  <si>
    <t>SNTRUP761_run06</t>
  </si>
  <si>
    <t>SNTRUP761_run07</t>
  </si>
  <si>
    <t>SNTRUP761_run08</t>
  </si>
  <si>
    <t>SNTRUP761_run09</t>
  </si>
  <si>
    <t>SNTRUP761_run10</t>
  </si>
  <si>
    <t>SNTRUP761_run11</t>
  </si>
  <si>
    <t>SNTRUP761_run12</t>
  </si>
  <si>
    <t>SNTRUP761_run13</t>
  </si>
  <si>
    <t>SNTRUP761_run14</t>
  </si>
  <si>
    <t>SNTRUP761_run15</t>
  </si>
  <si>
    <t>SNTRUP761_run16</t>
  </si>
  <si>
    <t>SNTRUP761_run17</t>
  </si>
  <si>
    <t>SNTRUP761_run18</t>
  </si>
  <si>
    <t>SNTRUP761_run19</t>
  </si>
  <si>
    <t>SNTRUP761_run20</t>
  </si>
  <si>
    <t>SNTRUP761_run21</t>
  </si>
  <si>
    <t>SNTRUP761_run22</t>
  </si>
  <si>
    <t>SNTRUP761_run23</t>
  </si>
  <si>
    <t>SNTRUP761_run24</t>
  </si>
  <si>
    <t>SNTRUP761_run25</t>
  </si>
  <si>
    <t>SNTRUP761_run26</t>
  </si>
  <si>
    <t>SNTRUP761_run27</t>
  </si>
  <si>
    <t>SNTRUP761_run28</t>
  </si>
  <si>
    <t>SNTRUP761_run29</t>
  </si>
  <si>
    <t>SNTRUP761_run30</t>
  </si>
  <si>
    <t>KEM</t>
  </si>
  <si>
    <t>type</t>
  </si>
  <si>
    <t>Dilithium2</t>
  </si>
  <si>
    <t>Dilithium2_run01</t>
  </si>
  <si>
    <t>Dilithium2_run02</t>
  </si>
  <si>
    <t>Dilithium2_run03</t>
  </si>
  <si>
    <t>Dilithium2_run04</t>
  </si>
  <si>
    <t>Dilithium2_run05</t>
  </si>
  <si>
    <t>Dilithium2_run06</t>
  </si>
  <si>
    <t>Dilithium2_run07</t>
  </si>
  <si>
    <t>Dilithium2_run08</t>
  </si>
  <si>
    <t>Dilithium2_run09</t>
  </si>
  <si>
    <t>Dilithium2_run10</t>
  </si>
  <si>
    <t>Dilithium2_run11</t>
  </si>
  <si>
    <t>Dilithium2_run12</t>
  </si>
  <si>
    <t>Dilithium2_run13</t>
  </si>
  <si>
    <t>Dilithium2_run14</t>
  </si>
  <si>
    <t>Dilithium2_run15</t>
  </si>
  <si>
    <t>Dilithium2_run16</t>
  </si>
  <si>
    <t>Dilithium2_run17</t>
  </si>
  <si>
    <t>Dilithium2_run18</t>
  </si>
  <si>
    <t>Dilithium2_run19</t>
  </si>
  <si>
    <t>Dilithium2_run20</t>
  </si>
  <si>
    <t>Dilithium2_run21</t>
  </si>
  <si>
    <t>Dilithium2_run22</t>
  </si>
  <si>
    <t>Dilithium2_run23</t>
  </si>
  <si>
    <t>Dilithium2_run24</t>
  </si>
  <si>
    <t>Dilithium2_run25</t>
  </si>
  <si>
    <t>Dilithium2_run26</t>
  </si>
  <si>
    <t>Dilithium2_run27</t>
  </si>
  <si>
    <t>Dilithium2_run28</t>
  </si>
  <si>
    <t>Dilithium2_run29</t>
  </si>
  <si>
    <t>Dilithium2_run30</t>
  </si>
  <si>
    <t>Falcon-512</t>
  </si>
  <si>
    <t>Falcon-512_run01</t>
  </si>
  <si>
    <t>Falcon-512_run02</t>
  </si>
  <si>
    <t>Falcon-512_run03</t>
  </si>
  <si>
    <t>Falcon-512_run04</t>
  </si>
  <si>
    <t>Falcon-512_run05</t>
  </si>
  <si>
    <t>Falcon-512_run06</t>
  </si>
  <si>
    <t>Falcon-512_run07</t>
  </si>
  <si>
    <t>Falcon-512_run08</t>
  </si>
  <si>
    <t>Falcon-512_run09</t>
  </si>
  <si>
    <t>Falcon-512_run10</t>
  </si>
  <si>
    <t>Falcon-512_run11</t>
  </si>
  <si>
    <t>Falcon-512_run12</t>
  </si>
  <si>
    <t>Falcon-512_run13</t>
  </si>
  <si>
    <t>Falcon-512_run14</t>
  </si>
  <si>
    <t>Falcon-512_run15</t>
  </si>
  <si>
    <t>Falcon-512_run16</t>
  </si>
  <si>
    <t>Falcon-512_run17</t>
  </si>
  <si>
    <t>Falcon-512_run18</t>
  </si>
  <si>
    <t>Falcon-512_run19</t>
  </si>
  <si>
    <t>Falcon-512_run20</t>
  </si>
  <si>
    <t>Falcon-512_run21</t>
  </si>
  <si>
    <t>Falcon-512_run22</t>
  </si>
  <si>
    <t>Falcon-512_run23</t>
  </si>
  <si>
    <t>Falcon-512_run24</t>
  </si>
  <si>
    <t>Falcon-512_run25</t>
  </si>
  <si>
    <t>Falcon-512_run26</t>
  </si>
  <si>
    <t>Falcon-512_run27</t>
  </si>
  <si>
    <t>Falcon-512_run28</t>
  </si>
  <si>
    <t>Falcon-512_run29</t>
  </si>
  <si>
    <t>Falcon-512_run30</t>
  </si>
  <si>
    <t>ML-DSA-44</t>
  </si>
  <si>
    <t>ML-DSA-44_run01</t>
  </si>
  <si>
    <t>ML-DSA-44_run02</t>
  </si>
  <si>
    <t>ML-DSA-44_run03</t>
  </si>
  <si>
    <t>ML-DSA-44_run04</t>
  </si>
  <si>
    <t>ML-DSA-44_run05</t>
  </si>
  <si>
    <t>ML-DSA-44_run06</t>
  </si>
  <si>
    <t>ML-DSA-44_run07</t>
  </si>
  <si>
    <t>ML-DSA-44_run08</t>
  </si>
  <si>
    <t>ML-DSA-44_run09</t>
  </si>
  <si>
    <t>ML-DSA-44_run10</t>
  </si>
  <si>
    <t>ML-DSA-44_run11</t>
  </si>
  <si>
    <t>ML-DSA-44_run12</t>
  </si>
  <si>
    <t>ML-DSA-44_run13</t>
  </si>
  <si>
    <t>ML-DSA-44_run14</t>
  </si>
  <si>
    <t>ML-DSA-44_run15</t>
  </si>
  <si>
    <t>ML-DSA-44_run16</t>
  </si>
  <si>
    <t>ML-DSA-44_run17</t>
  </si>
  <si>
    <t>ML-DSA-44_run18</t>
  </si>
  <si>
    <t>ML-DSA-44_run19</t>
  </si>
  <si>
    <t>ML-DSA-44_run20</t>
  </si>
  <si>
    <t>ML-DSA-44_run21</t>
  </si>
  <si>
    <t>ML-DSA-44_run22</t>
  </si>
  <si>
    <t>ML-DSA-44_run23</t>
  </si>
  <si>
    <t>ML-DSA-44_run24</t>
  </si>
  <si>
    <t>ML-DSA-44_run25</t>
  </si>
  <si>
    <t>ML-DSA-44_run26</t>
  </si>
  <si>
    <t>ML-DSA-44_run27</t>
  </si>
  <si>
    <t>ML-DSA-44_run28</t>
  </si>
  <si>
    <t>ML-DSA-44_run29</t>
  </si>
  <si>
    <t>ML-DSA-44_run30</t>
  </si>
  <si>
    <t>ML-DSA-65</t>
  </si>
  <si>
    <t>ML-DSA-65_run01</t>
  </si>
  <si>
    <t>ML-DSA-65_run02</t>
  </si>
  <si>
    <t>ML-DSA-65_run03</t>
  </si>
  <si>
    <t>ML-DSA-65_run04</t>
  </si>
  <si>
    <t>ML-DSA-65_run05</t>
  </si>
  <si>
    <t>ML-DSA-65_run06</t>
  </si>
  <si>
    <t>ML-DSA-65_run07</t>
  </si>
  <si>
    <t>ML-DSA-65_run08</t>
  </si>
  <si>
    <t>ML-DSA-65_run09</t>
  </si>
  <si>
    <t>ML-DSA-65_run10</t>
  </si>
  <si>
    <t>ML-DSA-65_run11</t>
  </si>
  <si>
    <t>ML-DSA-65_run12</t>
  </si>
  <si>
    <t>ML-DSA-65_run13</t>
  </si>
  <si>
    <t>ML-DSA-65_run14</t>
  </si>
  <si>
    <t>ML-DSA-65_run15</t>
  </si>
  <si>
    <t>ML-DSA-65_run16</t>
  </si>
  <si>
    <t>ML-DSA-65_run17</t>
  </si>
  <si>
    <t>ML-DSA-65_run18</t>
  </si>
  <si>
    <t>ML-DSA-65_run19</t>
  </si>
  <si>
    <t>ML-DSA-65_run20</t>
  </si>
  <si>
    <t>ML-DSA-65_run21</t>
  </si>
  <si>
    <t>ML-DSA-65_run22</t>
  </si>
  <si>
    <t>ML-DSA-65_run23</t>
  </si>
  <si>
    <t>ML-DSA-65_run24</t>
  </si>
  <si>
    <t>ML-DSA-65_run25</t>
  </si>
  <si>
    <t>ML-DSA-65_run26</t>
  </si>
  <si>
    <t>ML-DSA-65_run27</t>
  </si>
  <si>
    <t>ML-DSA-65_run28</t>
  </si>
  <si>
    <t>ML-DSA-65_run29</t>
  </si>
  <si>
    <t>ML-DSA-65_run30</t>
  </si>
  <si>
    <t>SPHINCS+-SHA2-128f-simple</t>
  </si>
  <si>
    <t>SPHINCS+-SHA2-128f-simple_run01</t>
  </si>
  <si>
    <t>SPHINCS+-SHA2-128f-simple_run02</t>
  </si>
  <si>
    <t>SPHINCS+-SHA2-128f-simple_run03</t>
  </si>
  <si>
    <t>SPHINCS+-SHA2-128f-simple_run04</t>
  </si>
  <si>
    <t>SPHINCS+-SHA2-128f-simple_run05</t>
  </si>
  <si>
    <t>SPHINCS+-SHA2-128f-simple_run06</t>
  </si>
  <si>
    <t>SPHINCS+-SHA2-128f-simple_run07</t>
  </si>
  <si>
    <t>SPHINCS+-SHA2-128f-simple_run08</t>
  </si>
  <si>
    <t>SPHINCS+-SHA2-128f-simple_run09</t>
  </si>
  <si>
    <t>SPHINCS+-SHA2-128f-simple_run10</t>
  </si>
  <si>
    <t>SPHINCS+-SHA2-128f-simple_run11</t>
  </si>
  <si>
    <t>SPHINCS+-SHA2-128f-simple_run12</t>
  </si>
  <si>
    <t>SPHINCS+-SHA2-128f-simple_run13</t>
  </si>
  <si>
    <t>SPHINCS+-SHA2-128f-simple_run14</t>
  </si>
  <si>
    <t>SPHINCS+-SHA2-128f-simple_run15</t>
  </si>
  <si>
    <t>SPHINCS+-SHA2-128f-simple_run16</t>
  </si>
  <si>
    <t>SPHINCS+-SHA2-128f-simple_run17</t>
  </si>
  <si>
    <t>SPHINCS+-SHA2-128f-simple_run18</t>
  </si>
  <si>
    <t>SPHINCS+-SHA2-128f-simple_run19</t>
  </si>
  <si>
    <t>SPHINCS+-SHA2-128f-simple_run20</t>
  </si>
  <si>
    <t>SPHINCS+-SHA2-128f-simple_run21</t>
  </si>
  <si>
    <t>SPHINCS+-SHA2-128f-simple_run22</t>
  </si>
  <si>
    <t>SPHINCS+-SHA2-128f-simple_run23</t>
  </si>
  <si>
    <t>SPHINCS+-SHA2-128f-simple_run24</t>
  </si>
  <si>
    <t>SPHINCS+-SHA2-128f-simple_run25</t>
  </si>
  <si>
    <t>SPHINCS+-SHA2-128f-simple_run26</t>
  </si>
  <si>
    <t>SPHINCS+-SHA2-128f-simple_run27</t>
  </si>
  <si>
    <t>SPHINCS+-SHA2-128f-simple_run28</t>
  </si>
  <si>
    <t>SPHINCS+-SHA2-128f-simple_run29</t>
  </si>
  <si>
    <t>SPHINCS+-SHA2-128f-simple_run30</t>
  </si>
  <si>
    <t>SIG</t>
  </si>
  <si>
    <t>Std Dev (s)</t>
  </si>
  <si>
    <t>CV (%)</t>
  </si>
  <si>
    <t>95% CI</t>
  </si>
  <si>
    <t>Mean</t>
  </si>
  <si>
    <t>std dev</t>
  </si>
  <si>
    <t>CV</t>
  </si>
  <si>
    <t>95CI</t>
  </si>
  <si>
    <t>run</t>
  </si>
  <si>
    <t xml:space="preserve"> 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</si>
  <si>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</si>
  <si>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</si>
  <si>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</si>
  <si>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</si>
  <si>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</si>
  <si>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</si>
  <si>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</si>
  <si>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</si>
  <si>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</si>
  <si>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</si>
  <si>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</si>
  <si>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</si>
  <si>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</si>
  <si>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</si>
  <si>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</si>
  <si>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</si>
  <si>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</si>
  <si>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</si>
  <si>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Metric</t>
  </si>
  <si>
    <t>F-value</t>
  </si>
  <si>
    <t>p-value</t>
  </si>
  <si>
    <t>Runtime</t>
  </si>
  <si>
    <t>ANOVA results for runtime</t>
  </si>
  <si>
    <t>p &lt; 0.05</t>
  </si>
  <si>
    <t>p&lt;0.001</t>
  </si>
  <si>
    <t>std_voltage</t>
  </si>
  <si>
    <t>ci95_voltage_low</t>
  </si>
  <si>
    <t>ci95_voltage_high</t>
  </si>
  <si>
    <t>std_current</t>
  </si>
  <si>
    <t>ci95_current_low</t>
  </si>
  <si>
    <t>ci95_current_high</t>
  </si>
  <si>
    <t>Kyber512_run02_waveform</t>
  </si>
  <si>
    <t>Kyber512_run14_waveform</t>
  </si>
  <si>
    <t>Kyber512_run18_waveform</t>
  </si>
  <si>
    <t>Kyber512_run17_waveform</t>
  </si>
  <si>
    <t>Kyber512_run28_waveform</t>
  </si>
  <si>
    <t>Kyber512_run12_waveform</t>
  </si>
  <si>
    <t>Kyber512_run27_waveform</t>
  </si>
  <si>
    <t>Kyber512_run19_waveform</t>
  </si>
  <si>
    <t>Kyber512_run29_waveform</t>
  </si>
  <si>
    <t>Kyber512_run22_waveform</t>
  </si>
  <si>
    <t>Kyber512_run16_waveform</t>
  </si>
  <si>
    <t>Kyber512_run08_waveform</t>
  </si>
  <si>
    <t>Kyber512_run10_waveform</t>
  </si>
  <si>
    <t>Kyber512_run09_waveform</t>
  </si>
  <si>
    <t>Kyber512_run11_waveform</t>
  </si>
  <si>
    <t>Kyber512_run30_waveform</t>
  </si>
  <si>
    <t>Kyber512_run26_waveform</t>
  </si>
  <si>
    <t>Kyber512_run07_waveform</t>
  </si>
  <si>
    <t>Kyber512_run06_waveform</t>
  </si>
  <si>
    <t>Kyber512_run03_waveform</t>
  </si>
  <si>
    <t>Kyber512_run05_waveform</t>
  </si>
  <si>
    <t>Kyber512_run01_waveform</t>
  </si>
  <si>
    <t>Kyber512_run13_waveform</t>
  </si>
  <si>
    <t>Kyber512_run23_waveform</t>
  </si>
  <si>
    <t>Kyber512_run20_waveform</t>
  </si>
  <si>
    <t>Kyber512_run15_waveform</t>
  </si>
  <si>
    <t>Kyber512_run04_waveform</t>
  </si>
  <si>
    <t>Kyber512_run21_waveform</t>
  </si>
  <si>
    <t>Kyber512_run25_waveform</t>
  </si>
  <si>
    <t>Kyber512_run24_waveform</t>
  </si>
  <si>
    <t>ALL_RUNS</t>
  </si>
  <si>
    <t>cv</t>
  </si>
  <si>
    <t>Ops/J</t>
  </si>
  <si>
    <t>T.INV.2T(0.05,29)*STDEV.S(A2:A31)/SQRT(30)</t>
  </si>
  <si>
    <t>95%CI</t>
  </si>
  <si>
    <t>ML-KEM-512_run23_waveform</t>
  </si>
  <si>
    <t>ML-KEM-512_run19_waveform</t>
  </si>
  <si>
    <t>ML-KEM-512_run10_waveform</t>
  </si>
  <si>
    <t>ML-KEM-512_run03_waveform</t>
  </si>
  <si>
    <t>ML-KEM-512_run25_waveform</t>
  </si>
  <si>
    <t>ML-KEM-512_run06_waveform</t>
  </si>
  <si>
    <t>ML-KEM-512_run21_waveform</t>
  </si>
  <si>
    <t>ML-KEM-512_run26_waveform</t>
  </si>
  <si>
    <t>ML-KEM-512_run05_waveform</t>
  </si>
  <si>
    <t>ML-KEM-512_run17_waveform</t>
  </si>
  <si>
    <t>ML-KEM-512_run01_waveform</t>
  </si>
  <si>
    <t>ML-KEM-512_run30_waveform</t>
  </si>
  <si>
    <t>ML-KEM-512_run13_waveform</t>
  </si>
  <si>
    <t>ML-KEM-512_run24_waveform</t>
  </si>
  <si>
    <t>ML-KEM-512_run09_waveform</t>
  </si>
  <si>
    <t>ML-KEM-512_run27_waveform</t>
  </si>
  <si>
    <t>ML-KEM-512_run28_waveform</t>
  </si>
  <si>
    <t>ML-KEM-512_run14_waveform</t>
  </si>
  <si>
    <t>ML-KEM-512_run12_waveform</t>
  </si>
  <si>
    <t>ML-KEM-512_run20_waveform</t>
  </si>
  <si>
    <t>ML-KEM-512_run07_waveform</t>
  </si>
  <si>
    <t>ML-KEM-512_run29_waveform</t>
  </si>
  <si>
    <t>ML-KEM-512_run04_waveform</t>
  </si>
  <si>
    <t>ML-KEM-512_run02_waveform</t>
  </si>
  <si>
    <t>ML-KEM-512_run11_waveform</t>
  </si>
  <si>
    <t>ML-KEM-512_run08_waveform</t>
  </si>
  <si>
    <t>ML-KEM-512_run22_waveform</t>
  </si>
  <si>
    <t>ML-KEM-512_run18_waveform</t>
  </si>
  <si>
    <t>ML-KEM-512_run16_waveform</t>
  </si>
  <si>
    <t>ML-KEM-512_run15_waveform</t>
  </si>
  <si>
    <t>ML-KEM-768_run04_waveform</t>
  </si>
  <si>
    <t>ML-KEM-768_run30_waveform</t>
  </si>
  <si>
    <t>ML-KEM-768_run15_waveform</t>
  </si>
  <si>
    <t>ML-KEM-768_run12_waveform</t>
  </si>
  <si>
    <t>ML-KEM-768_run03_waveform</t>
  </si>
  <si>
    <t>ML-KEM-768_run09_waveform</t>
  </si>
  <si>
    <t>ML-KEM-768_run14_waveform</t>
  </si>
  <si>
    <t>ML-KEM-768_run25_waveform</t>
  </si>
  <si>
    <t>ML-KEM-768_run20_waveform</t>
  </si>
  <si>
    <t>ML-KEM-768_run10_waveform</t>
  </si>
  <si>
    <t>ML-KEM-768_run22_waveform</t>
  </si>
  <si>
    <t>ML-KEM-768_run28_waveform</t>
  </si>
  <si>
    <t>ML-KEM-768_run11_waveform</t>
  </si>
  <si>
    <t>ML-KEM-768_run27_waveform</t>
  </si>
  <si>
    <t>ML-KEM-768_run16_waveform</t>
  </si>
  <si>
    <t>ML-KEM-768_run07_waveform</t>
  </si>
  <si>
    <t>ML-KEM-768_run05_waveform</t>
  </si>
  <si>
    <t>ML-KEM-768_run19_waveform</t>
  </si>
  <si>
    <t>ML-KEM-768_run29_waveform</t>
  </si>
  <si>
    <t>ML-KEM-768_run02_waveform</t>
  </si>
  <si>
    <t>ML-KEM-768_run17_waveform</t>
  </si>
  <si>
    <t>ML-KEM-768_run24_waveform</t>
  </si>
  <si>
    <t>ML-KEM-768_run06_waveform</t>
  </si>
  <si>
    <t>ML-KEM-768_run08_waveform</t>
  </si>
  <si>
    <t>ML-KEM-768_run18_waveform</t>
  </si>
  <si>
    <t>ML-KEM-768_run21_waveform</t>
  </si>
  <si>
    <t>ML-KEM-768_run01_waveform</t>
  </si>
  <si>
    <t>ML-KEM-768_run23_waveform</t>
  </si>
  <si>
    <t>ML-KEM-768_run13_waveform</t>
  </si>
  <si>
    <t>FrodoKEM-640-AES_run21_waveform</t>
  </si>
  <si>
    <t>FrodoKEM-640-AES_run17_waveform</t>
  </si>
  <si>
    <t>FrodoKEM-640-AES_run04_waveform</t>
  </si>
  <si>
    <t>FrodoKEM-640-AES_run28_waveform</t>
  </si>
  <si>
    <t>FrodoKEM-640-AES_run09_waveform</t>
  </si>
  <si>
    <t>FrodoKEM-640-AES_run29_waveform</t>
  </si>
  <si>
    <t>FrodoKEM-640-AES_run22_waveform</t>
  </si>
  <si>
    <t>FrodoKEM-640-AES_run20_waveform</t>
  </si>
  <si>
    <t>FrodoKEM-640-AES_run27_waveform</t>
  </si>
  <si>
    <t>FrodoKEM-640-AES_run02_waveform</t>
  </si>
  <si>
    <t>FrodoKEM-640-AES_run19_waveform</t>
  </si>
  <si>
    <t>FrodoKEM-640-AES_run11_waveform</t>
  </si>
  <si>
    <t>FrodoKEM-640-AES_run23_waveform</t>
  </si>
  <si>
    <t>FrodoKEM-640-AES_run14_waveform</t>
  </si>
  <si>
    <t>FrodoKEM-640-AES_run05_waveform</t>
  </si>
  <si>
    <t>FrodoKEM-640-AES_run03_waveform</t>
  </si>
  <si>
    <t>FrodoKEM-640-AES_run24_waveform</t>
  </si>
  <si>
    <t>FrodoKEM-640-AES_run26_waveform</t>
  </si>
  <si>
    <t>FrodoKEM-640-AES_run30_waveform</t>
  </si>
  <si>
    <t>FrodoKEM-640-AES_run16_waveform</t>
  </si>
  <si>
    <t>FrodoKEM-640-AES_run10_waveform</t>
  </si>
  <si>
    <t>FrodoKEM-640-AES_run12_waveform</t>
  </si>
  <si>
    <t>FrodoKEM-640-AES_run07_waveform</t>
  </si>
  <si>
    <t>FrodoKEM-640-AES_run06_waveform</t>
  </si>
  <si>
    <t>FrodoKEM-640-AES_run13_waveform</t>
  </si>
  <si>
    <t>FrodoKEM-640-AES_run08_waveform</t>
  </si>
  <si>
    <t>FrodoKEM-640-AES_run15_waveform</t>
  </si>
  <si>
    <t>FrodoKEM-640-AES_run18_waveform</t>
  </si>
  <si>
    <t>FrodoKEM-640-AES_run01_waveform</t>
  </si>
  <si>
    <t>FrodoKEM-640-AES_run25_waveform</t>
  </si>
  <si>
    <t>SNTRUP761_run03_waveform</t>
  </si>
  <si>
    <t>SNTRUP761_run13_waveform</t>
  </si>
  <si>
    <t>SNTRUP761_run28_waveform</t>
  </si>
  <si>
    <t>SNTRUP761_run05_waveform</t>
  </si>
  <si>
    <t>SNTRUP761_run17_waveform</t>
  </si>
  <si>
    <t>SNTRUP761_run19_waveform</t>
  </si>
  <si>
    <t>SNTRUP761_run12_waveform</t>
  </si>
  <si>
    <t>SNTRUP761_run30_waveform</t>
  </si>
  <si>
    <t>SNTRUP761_run10_waveform</t>
  </si>
  <si>
    <t>SNTRUP761_run20_waveform</t>
  </si>
  <si>
    <t>SNTRUP761_run21_waveform</t>
  </si>
  <si>
    <t>SNTRUP761_run01_waveform</t>
  </si>
  <si>
    <t>SNTRUP761_run08_waveform</t>
  </si>
  <si>
    <t>SNTRUP761_run22_waveform</t>
  </si>
  <si>
    <t>SNTRUP761_run04_waveform</t>
  </si>
  <si>
    <t>SNTRUP761_run07_waveform</t>
  </si>
  <si>
    <t>SNTRUP761_run18_waveform</t>
  </si>
  <si>
    <t>SNTRUP761_run25_waveform</t>
  </si>
  <si>
    <t>SNTRUP761_run11_waveform</t>
  </si>
  <si>
    <t>SNTRUP761_run06_waveform</t>
  </si>
  <si>
    <t>SNTRUP761_run14_waveform</t>
  </si>
  <si>
    <t>SNTRUP761_run02_waveform</t>
  </si>
  <si>
    <t>SNTRUP761_run09_waveform</t>
  </si>
  <si>
    <t>SNTRUP761_run16_waveform</t>
  </si>
  <si>
    <t>SNTRUP761_run27_waveform</t>
  </si>
  <si>
    <t>SNTRUP761_run29_waveform</t>
  </si>
  <si>
    <t>SNTRUP761_run24_waveform</t>
  </si>
  <si>
    <t>SNTRUP761_run26_waveform</t>
  </si>
  <si>
    <t>SNTRUP761_run15_waveform</t>
  </si>
  <si>
    <t>SNTRUP761_run23_waveform</t>
  </si>
  <si>
    <t>Classic-McEliece-348864_run19_waveform</t>
  </si>
  <si>
    <t>Classic-McEliece-348864_run30_waveform</t>
  </si>
  <si>
    <t>Classic-McEliece-348864_run09_waveform</t>
  </si>
  <si>
    <t>Classic-McEliece-348864_run24_waveform</t>
  </si>
  <si>
    <t>Classic-McEliece-348864_run02_waveform</t>
  </si>
  <si>
    <t>Classic-McEliece-348864_run26_waveform</t>
  </si>
  <si>
    <t>Classic-McEliece-348864_run17_waveform</t>
  </si>
  <si>
    <t>Classic-McEliece-348864_run07_waveform</t>
  </si>
  <si>
    <t>Classic-McEliece-348864_run25_waveform</t>
  </si>
  <si>
    <t>Classic-McEliece-348864_run04_waveform</t>
  </si>
  <si>
    <t>Classic-McEliece-348864_run20_waveform</t>
  </si>
  <si>
    <t>Classic-McEliece-348864_run15_waveform</t>
  </si>
  <si>
    <t>Classic-McEliece-348864_run29_waveform</t>
  </si>
  <si>
    <t>Classic-McEliece-348864_run23_waveform</t>
  </si>
  <si>
    <t>Classic-McEliece-348864_run03_waveform</t>
  </si>
  <si>
    <t>Classic-McEliece-348864_run05_waveform</t>
  </si>
  <si>
    <t>Classic-McEliece-348864_run27_waveform</t>
  </si>
  <si>
    <t>Classic-McEliece-348864_run21_waveform</t>
  </si>
  <si>
    <t>Classic-McEliece-348864_run08_waveform</t>
  </si>
  <si>
    <t>Classic-McEliece-348864_run16_waveform</t>
  </si>
  <si>
    <t>Classic-McEliece-348864_run13_waveform</t>
  </si>
  <si>
    <t>Classic-McEliece-348864_run28_waveform</t>
  </si>
  <si>
    <t>Classic-McEliece-348864_run12_waveform</t>
  </si>
  <si>
    <t>Classic-McEliece-348864_run10_waveform</t>
  </si>
  <si>
    <t>Classic-McEliece-348864_run11_waveform</t>
  </si>
  <si>
    <t>Classic-McEliece-348864_run18_waveform</t>
  </si>
  <si>
    <t>Classic-McEliece-348864_run22_waveform</t>
  </si>
  <si>
    <t>Classic-McEliece-348864_run06_waveform</t>
  </si>
  <si>
    <t>Classic-McEliece-348864_run14_waveform</t>
  </si>
  <si>
    <t>Classic-McEliece-348864_run01_waveform</t>
  </si>
  <si>
    <t>Dilithium2_run14_waveform</t>
  </si>
  <si>
    <t>Dilithium2_run18_waveform</t>
  </si>
  <si>
    <t>Dilithium2_run29_waveform</t>
  </si>
  <si>
    <t>Dilithium2_run27_waveform</t>
  </si>
  <si>
    <t>Dilithium2_run24_waveform</t>
  </si>
  <si>
    <t>Dilithium2_run30_waveform</t>
  </si>
  <si>
    <t>Dilithium2_run11_waveform</t>
  </si>
  <si>
    <t>Dilithium2_run03_waveform</t>
  </si>
  <si>
    <t>Dilithium2_run28_waveform</t>
  </si>
  <si>
    <t>Dilithium2_run07_waveform</t>
  </si>
  <si>
    <t>Dilithium2_run13_waveform</t>
  </si>
  <si>
    <t>Dilithium2_run06_waveform</t>
  </si>
  <si>
    <t>Dilithium2_run04_waveform</t>
  </si>
  <si>
    <t>Dilithium2_run09_waveform</t>
  </si>
  <si>
    <t>Dilithium2_run12_waveform</t>
  </si>
  <si>
    <t>Dilithium2_run05_waveform</t>
  </si>
  <si>
    <t>Dilithium2_run25_waveform</t>
  </si>
  <si>
    <t>Dilithium2_run22_waveform</t>
  </si>
  <si>
    <t>Dilithium2_run20_waveform</t>
  </si>
  <si>
    <t>Dilithium2_run16_waveform</t>
  </si>
  <si>
    <t>Dilithium2_run10_waveform</t>
  </si>
  <si>
    <t>Dilithium2_run23_waveform</t>
  </si>
  <si>
    <t>Dilithium2_run08_waveform</t>
  </si>
  <si>
    <t>Dilithium2_run19_waveform</t>
  </si>
  <si>
    <t>Dilithium2_run15_waveform</t>
  </si>
  <si>
    <t>Dilithium2_run17_waveform</t>
  </si>
  <si>
    <t>Dilithium2_run01_waveform</t>
  </si>
  <si>
    <t>Dilithium2_run26_waveform</t>
  </si>
  <si>
    <t>Dilithium2_run21_waveform</t>
  </si>
  <si>
    <t>Dilithium2_run02_waveform</t>
  </si>
  <si>
    <t>Falcon-512_run24_waveform</t>
  </si>
  <si>
    <t>Falcon-512_run06_waveform</t>
  </si>
  <si>
    <t>Falcon-512_run20_waveform</t>
  </si>
  <si>
    <t>Falcon-512_run02_waveform</t>
  </si>
  <si>
    <t>Falcon-512_run13_waveform</t>
  </si>
  <si>
    <t>Falcon-512_run29_waveform</t>
  </si>
  <si>
    <t>Falcon-512_run16_waveform</t>
  </si>
  <si>
    <t>Falcon-512_run26_waveform</t>
  </si>
  <si>
    <t>Falcon-512_run09_waveform</t>
  </si>
  <si>
    <t>Falcon-512_run04_waveform</t>
  </si>
  <si>
    <t>Falcon-512_run15_waveform</t>
  </si>
  <si>
    <t>Falcon-512_run30_waveform</t>
  </si>
  <si>
    <t>Falcon-512_run18_waveform</t>
  </si>
  <si>
    <t>Falcon-512_run21_waveform</t>
  </si>
  <si>
    <t>Falcon-512_run14_waveform</t>
  </si>
  <si>
    <t>Falcon-512_run25_waveform</t>
  </si>
  <si>
    <t>Falcon-512_run12_waveform</t>
  </si>
  <si>
    <t>Falcon-512_run19_waveform</t>
  </si>
  <si>
    <t>Falcon-512_run28_waveform</t>
  </si>
  <si>
    <t>Falcon-512_run05_waveform</t>
  </si>
  <si>
    <t>Falcon-512_run07_waveform</t>
  </si>
  <si>
    <t>Falcon-512_run03_waveform</t>
  </si>
  <si>
    <t>Falcon-512_run22_waveform</t>
  </si>
  <si>
    <t>Falcon-512_run17_waveform</t>
  </si>
  <si>
    <t>Falcon-512_run01_waveform</t>
  </si>
  <si>
    <t>Falcon-512_run10_waveform</t>
  </si>
  <si>
    <t>Falcon-512_run08_waveform</t>
  </si>
  <si>
    <t>Falcon-512_run11_waveform</t>
  </si>
  <si>
    <t>Falcon-512_run27_waveform</t>
  </si>
  <si>
    <t>Falcon-512_run23_waveform</t>
  </si>
  <si>
    <t>ML-DSA-44_run30_waveform</t>
  </si>
  <si>
    <t>ML-DSA-44_run13_waveform</t>
  </si>
  <si>
    <t>ML-DSA-44_run05_waveform</t>
  </si>
  <si>
    <t>ML-DSA-44_run16_waveform</t>
  </si>
  <si>
    <t>ML-DSA-44_run27_waveform</t>
  </si>
  <si>
    <t>ML-DSA-44_run03_waveform</t>
  </si>
  <si>
    <t>ML-DSA-44_run02_waveform</t>
  </si>
  <si>
    <t>ML-DSA-44_run12_waveform</t>
  </si>
  <si>
    <t>ML-DSA-44_run26_waveform</t>
  </si>
  <si>
    <t>ML-DSA-44_run25_waveform</t>
  </si>
  <si>
    <t>ML-DSA-44_run11_waveform</t>
  </si>
  <si>
    <t>ML-DSA-44_run09_waveform</t>
  </si>
  <si>
    <t>ML-DSA-44_run01_waveform</t>
  </si>
  <si>
    <t>ML-DSA-44_run17_waveform</t>
  </si>
  <si>
    <t>ML-DSA-44_run20_waveform</t>
  </si>
  <si>
    <t>ML-DSA-44_run28_waveform</t>
  </si>
  <si>
    <t>ML-DSA-44_run24_waveform</t>
  </si>
  <si>
    <t>ML-DSA-44_run19_waveform</t>
  </si>
  <si>
    <t>ML-DSA-44_run18_waveform</t>
  </si>
  <si>
    <t>ML-DSA-44_run06_waveform</t>
  </si>
  <si>
    <t>ML-DSA-44_run15_waveform</t>
  </si>
  <si>
    <t>ML-DSA-44_run04_waveform</t>
  </si>
  <si>
    <t>ML-DSA-44_run21_waveform</t>
  </si>
  <si>
    <t>ML-DSA-44_run23_waveform</t>
  </si>
  <si>
    <t>ML-DSA-44_run29_waveform</t>
  </si>
  <si>
    <t>ML-DSA-44_run08_waveform</t>
  </si>
  <si>
    <t>ML-DSA-44_run22_waveform</t>
  </si>
  <si>
    <t>ML-DSA-44_run10_waveform</t>
  </si>
  <si>
    <t>ML-DSA-44_run14_waveform</t>
  </si>
  <si>
    <t>ML-DSA-44_run07_waveform</t>
  </si>
  <si>
    <t>ML-DSA-65_run08_waveform</t>
  </si>
  <si>
    <t>ML-DSA-65_run16_waveform</t>
  </si>
  <si>
    <t>ML-DSA-65_run05_waveform</t>
  </si>
  <si>
    <t>ML-DSA-65_run12_waveform</t>
  </si>
  <si>
    <t>ML-DSA-65_run13_waveform</t>
  </si>
  <si>
    <t>ML-DSA-65_run25_waveform</t>
  </si>
  <si>
    <t>ML-DSA-65_run06_waveform</t>
  </si>
  <si>
    <t>ML-DSA-65_run29_waveform</t>
  </si>
  <si>
    <t>ML-DSA-65_run19_waveform</t>
  </si>
  <si>
    <t>ML-DSA-65_run03_waveform</t>
  </si>
  <si>
    <t>ML-DSA-65_run02_waveform</t>
  </si>
  <si>
    <t>ML-DSA-65_run10_waveform</t>
  </si>
  <si>
    <t>ML-DSA-65_run24_waveform</t>
  </si>
  <si>
    <t>ML-DSA-65_run15_waveform</t>
  </si>
  <si>
    <t>ML-DSA-65_run04_waveform</t>
  </si>
  <si>
    <t>ML-DSA-65_run27_waveform</t>
  </si>
  <si>
    <t>ML-DSA-65_run26_waveform</t>
  </si>
  <si>
    <t>ML-DSA-65_run17_waveform</t>
  </si>
  <si>
    <t>ML-DSA-65_run14_waveform</t>
  </si>
  <si>
    <t>ML-DSA-65_run18_waveform</t>
  </si>
  <si>
    <t>ML-DSA-65_run01_waveform</t>
  </si>
  <si>
    <t>ML-DSA-65_run09_waveform</t>
  </si>
  <si>
    <t>ML-DSA-65_run07_waveform</t>
  </si>
  <si>
    <t>ML-DSA-65_run21_waveform</t>
  </si>
  <si>
    <t>ML-DSA-65_run28_waveform</t>
  </si>
  <si>
    <t>ML-DSA-65_run30_waveform</t>
  </si>
  <si>
    <t>ML-DSA-65_run23_waveform</t>
  </si>
  <si>
    <t>ML-DSA-65_run20_waveform</t>
  </si>
  <si>
    <t>ML-DSA-65_run22_waveform</t>
  </si>
  <si>
    <t>ML-DSA-65_run11_waveform</t>
  </si>
  <si>
    <t>SPHINCS+-SHA2-128f-simple_run12_waveform</t>
  </si>
  <si>
    <t>SPHINCS+-SHA2-128f-simple_run20_waveform</t>
  </si>
  <si>
    <t>SPHINCS+-SHA2-128f-simple_run26_waveform</t>
  </si>
  <si>
    <t>SPHINCS+-SHA2-128f-simple_run17_waveform</t>
  </si>
  <si>
    <t>SPHINCS+-SHA2-128f-simple_run09_waveform</t>
  </si>
  <si>
    <t>SPHINCS+-SHA2-128f-simple_run18_waveform</t>
  </si>
  <si>
    <t>SPHINCS+-SHA2-128f-simple_run05_waveform</t>
  </si>
  <si>
    <t>SPHINCS+-SHA2-128f-simple_run07_waveform</t>
  </si>
  <si>
    <t>SPHINCS+-SHA2-128f-simple_run08_waveform</t>
  </si>
  <si>
    <t>SPHINCS+-SHA2-128f-simple_run27_waveform</t>
  </si>
  <si>
    <t>SPHINCS+-SHA2-128f-simple_run11_waveform</t>
  </si>
  <si>
    <t>SPHINCS+-SHA2-128f-simple_run13_waveform</t>
  </si>
  <si>
    <t>SPHINCS+-SHA2-128f-simple_run06_waveform</t>
  </si>
  <si>
    <t>SPHINCS+-SHA2-128f-simple_run25_waveform</t>
  </si>
  <si>
    <t>SPHINCS+-SHA2-128f-simple_run03_waveform</t>
  </si>
  <si>
    <t>SPHINCS+-SHA2-128f-simple_run24_waveform</t>
  </si>
  <si>
    <t>SPHINCS+-SHA2-128f-simple_run16_waveform</t>
  </si>
  <si>
    <t>SPHINCS+-SHA2-128f-simple_run21_waveform</t>
  </si>
  <si>
    <t>SPHINCS+-SHA2-128f-simple_run10_waveform</t>
  </si>
  <si>
    <t>SPHINCS+-SHA2-128f-simple_run19_waveform</t>
  </si>
  <si>
    <t>SPHINCS+-SHA2-128f-simple_run22_waveform</t>
  </si>
  <si>
    <t>SPHINCS+-SHA2-128f-simple_run28_waveform</t>
  </si>
  <si>
    <t>SPHINCS+-SHA2-128f-simple_run01_waveform</t>
  </si>
  <si>
    <t>SPHINCS+-SHA2-128f-simple_run29_waveform</t>
  </si>
  <si>
    <t>SPHINCS+-SHA2-128f-simple_run30_waveform</t>
  </si>
  <si>
    <t>SPHINCS+-SHA2-128f-simple_run15_waveform</t>
  </si>
  <si>
    <t>SPHINCS+-SHA2-128f-simple_run23_waveform</t>
  </si>
  <si>
    <t>SPHINCS+-SHA2-128f-simple_run02_waveform</t>
  </si>
  <si>
    <t>SPHINCS+-SHA2-128f-simple_run14_waveform</t>
  </si>
  <si>
    <t>SPHINCS+-SHA2-128f-simple_run04_waveform</t>
  </si>
  <si>
    <t>Mean Energy (J)</t>
  </si>
  <si>
    <t>Std Dev (J)</t>
  </si>
  <si>
    <t>ANOVA results for energy</t>
  </si>
  <si>
    <t>Energy</t>
  </si>
  <si>
    <t>Mean Runtime (s)</t>
  </si>
  <si>
    <t>Signature</t>
  </si>
  <si>
    <t>Table 1. Runtime performance of PQC algorithms</t>
  </si>
  <si>
    <t>Table 2. Power characteristics of PQC algorithms</t>
  </si>
  <si>
    <t>Table 3. Energy performance of PQC algorithms</t>
  </si>
  <si>
    <t>Table 4. Statistical significance analysis (ANOVA)</t>
  </si>
  <si>
    <t>Type</t>
  </si>
  <si>
    <t>Pearson Corr. ®</t>
  </si>
  <si>
    <t>Figure 3. Runtime vs Energy correlation</t>
  </si>
  <si>
    <t>Figure 4. Performance-Energy Trade-off</t>
  </si>
  <si>
    <t>SPHINCS+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</si>
</sst>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0"/>
    <numFmt numFmtId="166" formatCode="0.000E+00"/>
    <numFmt numFmtId="167" formatCode="0.00000000"/>
    <numFmt numFmtId="168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4" fontId="1" fillId="0" borderId="0" xfId="0" applyNumberFormat="1" applyFont="1"/>
    <xf numFmtId="165" fontId="0" fillId="0" borderId="0" xfId="0" applyNumberFormat="1"/>
    <xf numFmtId="0" fontId="0" fillId="0" borderId="1" xfId="0" applyBorder="1"/>
    <xf numFmtId="0" fontId="2" fillId="0" borderId="2" xfId="0" applyFont="1" applyBorder="1" applyAlignment="1">
      <alignment horizontal="center"/>
    </xf>
    <xf numFmtId="166" fontId="0" fillId="0" borderId="0" xfId="0" applyNumberFormat="1"/>
    <xf numFmtId="164" fontId="0" fillId="0" borderId="1" xfId="0" applyNumberFormat="1" applyBorder="1"/>
    <xf numFmtId="0" fontId="2" fillId="0" borderId="0" xfId="0" applyFont="1" applyAlignment="1">
      <alignment horizontal="center"/>
    </xf>
    <xf numFmtId="165" fontId="0" fillId="0" borderId="1" xfId="0" applyNumberFormat="1" applyBorder="1"/>
    <xf numFmtId="167" fontId="0" fillId="0" borderId="0" xfId="0" applyNumberFormat="1"/>
    <xf numFmtId="167" fontId="0" fillId="0" borderId="1" xfId="0" applyNumberFormat="1" applyBorder="1"/>
    <xf numFmtId="164" fontId="0" fillId="0" borderId="0" xfId="0" applyNumberFormat="1" applyAlignment="1">
      <alignment vertical="center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9618345934297"/>
          <c:y val="2.1555718244027949E-2"/>
          <c:w val="0.77486372487488886"/>
          <c:h val="0.8068009466258505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Runtime!$B$230:$B$240</c:f>
              <c:strCache>
                <c:ptCount val="11"/>
                <c:pt idx="0">
                  <c:v>ML-KEM-512</c:v>
                </c:pt>
                <c:pt idx="1">
                  <c:v>Kyber512</c:v>
                </c:pt>
                <c:pt idx="2">
                  <c:v>ML-KEM-768</c:v>
                </c:pt>
                <c:pt idx="3">
                  <c:v>SNTRUP761</c:v>
                </c:pt>
                <c:pt idx="4">
                  <c:v>FrodoKEM-640-AES</c:v>
                </c:pt>
                <c:pt idx="5">
                  <c:v>Classic-McEliece</c:v>
                </c:pt>
                <c:pt idx="6">
                  <c:v>Dilithium2</c:v>
                </c:pt>
                <c:pt idx="7">
                  <c:v>ML-DSA-44</c:v>
                </c:pt>
                <c:pt idx="8">
                  <c:v>ML-DSA-65</c:v>
                </c:pt>
                <c:pt idx="9">
                  <c:v>Falcon-512</c:v>
                </c:pt>
                <c:pt idx="10">
                  <c:v>SPHINCS+</c:v>
                </c:pt>
              </c:strCache>
            </c:strRef>
          </c:cat>
          <c:val>
            <c:numRef>
              <c:f>Runtime!$C$230:$C$240</c:f>
              <c:numCache>
                <c:formatCode>0.000</c:formatCode>
                <c:ptCount val="11"/>
                <c:pt idx="0">
                  <c:v>0.13205780000000003</c:v>
                </c:pt>
                <c:pt idx="1">
                  <c:v>0.13732106666666669</c:v>
                </c:pt>
                <c:pt idx="2">
                  <c:v>0.20929439999999999</c:v>
                </c:pt>
                <c:pt idx="3">
                  <c:v>15.291390866666664</c:v>
                </c:pt>
                <c:pt idx="4">
                  <c:v>46.964979466666669</c:v>
                </c:pt>
                <c:pt idx="5">
                  <c:v>400.857012</c:v>
                </c:pt>
                <c:pt idx="6" formatCode="0.0000">
                  <c:v>0.81688620000000012</c:v>
                </c:pt>
                <c:pt idx="7" formatCode="0.0000">
                  <c:v>1.3883186666666667</c:v>
                </c:pt>
                <c:pt idx="8" formatCode="0.0000">
                  <c:v>2.3927399000000005</c:v>
                </c:pt>
                <c:pt idx="9" formatCode="0.0000">
                  <c:v>19.87902433333333</c:v>
                </c:pt>
                <c:pt idx="10" formatCode="0.0000">
                  <c:v>75.145568100000006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C-4BDD-BDE3-4AAF81368B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0369647"/>
        <c:axId val="1390361487"/>
      </c:barChart>
      <c:catAx>
        <c:axId val="139036964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61487"/>
        <c:crossesAt val="0.1"/>
        <c:auto val="1"/>
        <c:lblAlgn val="ctr"/>
        <c:lblOffset val="100"/>
        <c:noMultiLvlLbl val="0"/>
      </c:catAx>
      <c:valAx>
        <c:axId val="1390361487"/>
        <c:scaling>
          <c:logBase val="10"/>
          <c:orientation val="minMax"/>
          <c:max val="4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Runtime (s, log scale)</a:t>
                </a:r>
              </a:p>
            </c:rich>
          </c:tx>
          <c:layout>
            <c:manualLayout>
              <c:xMode val="edge"/>
              <c:yMode val="edge"/>
              <c:x val="0.51181247884398906"/>
              <c:y val="0.91857148493360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69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b="1" i="0" baseline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9623120719208892E-2"/>
          <c:y val="2.8975256955772806E-2"/>
          <c:w val="0.9274683217602232"/>
          <c:h val="0.93097293188325692"/>
        </c:manualLayout>
      </c:layout>
      <c:scatterChart>
        <c:scatterStyle val="lineMarker"/>
        <c:varyColors val="0"/>
        <c:ser>
          <c:idx val="0"/>
          <c:order val="0"/>
          <c:tx>
            <c:strRef>
              <c:f>Runtime!$C$245</c:f>
              <c:strCache>
                <c:ptCount val="1"/>
                <c:pt idx="0">
                  <c:v>Mean Energy (J)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9617180192630317E-3"/>
                  <c:y val="5.7610802158379174E-2"/>
                </c:manualLayout>
              </c:layout>
              <c:tx>
                <c:rich>
                  <a:bodyPr/>
                  <a:lstStyle/>
                  <a:p>
                    <a:fld id="{32B0CA0E-71C3-47F7-BD76-FED5888D494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176958640834934"/>
                      <c:h val="4.52795311288563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9DC5-4811-AAE7-606C5E745080}"/>
                </c:ext>
              </c:extLst>
            </c:dLbl>
            <c:dLbl>
              <c:idx val="1"/>
              <c:layout>
                <c:manualLayout>
                  <c:x val="4.9569348747487516E-2"/>
                  <c:y val="1.3897860712570407E-2"/>
                </c:manualLayout>
              </c:layout>
              <c:tx>
                <c:rich>
                  <a:bodyPr rot="60000" spcFirstLastPara="1" vertOverflow="clip" horzOverflow="clip" vert="horz" wrap="square" lIns="36576" tIns="18288" rIns="36576" bIns="18288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3EDCA10-8C52-47F7-8086-3D76872F77D7}" type="CELLRANGE">
                      <a:rPr lang="en-US" b="1" i="0" baseline="0"/>
                      <a:pPr>
                        <a:defRPr b="1" i="0" baseline="0"/>
                      </a:pPr>
                      <a:t>[CELLRANGE]</a:t>
                    </a:fld>
                    <a:endParaRPr lang="en-ID"/>
                  </a:p>
                </c:rich>
              </c:tx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60000" spcFirstLastPara="1" vertOverflow="clip" horzOverflow="clip" vert="horz" wrap="square" lIns="36576" tIns="18288" rIns="36576" bIns="18288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ID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borderCallout1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7766732094659746"/>
                      <c:h val="4.313865807075441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DC5-4811-AAE7-606C5E745080}"/>
                </c:ext>
              </c:extLst>
            </c:dLbl>
            <c:dLbl>
              <c:idx val="2"/>
              <c:layout>
                <c:manualLayout>
                  <c:x val="6.9531424392608718E-2"/>
                  <c:y val="-1.4834111468699476E-2"/>
                </c:manualLayout>
              </c:layout>
              <c:tx>
                <c:rich>
                  <a:bodyPr/>
                  <a:lstStyle/>
                  <a:p>
                    <a:fld id="{04CC9B71-324F-4FAB-953B-BF74BA33883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9DC5-4811-AAE7-606C5E745080}"/>
                </c:ext>
              </c:extLst>
            </c:dLbl>
            <c:dLbl>
              <c:idx val="3"/>
              <c:layout>
                <c:manualLayout>
                  <c:x val="5.4205930324439558E-2"/>
                  <c:y val="3.1621226940400107E-2"/>
                </c:manualLayout>
              </c:layout>
              <c:tx>
                <c:rich>
                  <a:bodyPr/>
                  <a:lstStyle/>
                  <a:p>
                    <a:fld id="{F6E75902-1538-4903-B775-6366FDABFE7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9DC5-4811-AAE7-606C5E745080}"/>
                </c:ext>
              </c:extLst>
            </c:dLbl>
            <c:dLbl>
              <c:idx val="4"/>
              <c:layout>
                <c:manualLayout>
                  <c:x val="3.0370932864794246E-2"/>
                  <c:y val="-2.947444522525678E-2"/>
                </c:manualLayout>
              </c:layout>
              <c:tx>
                <c:rich>
                  <a:bodyPr/>
                  <a:lstStyle/>
                  <a:p>
                    <a:fld id="{BC38B7B7-3870-4179-B2F5-2B4FC174022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9DC5-4811-AAE7-606C5E745080}"/>
                </c:ext>
              </c:extLst>
            </c:dLbl>
            <c:dLbl>
              <c:idx val="5"/>
              <c:layout>
                <c:manualLayout>
                  <c:x val="4.1728406642993127E-2"/>
                  <c:y val="5.3992019028178649E-2"/>
                </c:manualLayout>
              </c:layout>
              <c:tx>
                <c:rich>
                  <a:bodyPr/>
                  <a:lstStyle/>
                  <a:p>
                    <a:fld id="{9A401C32-330B-470E-88BD-A317773B48C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9DC5-4811-AAE7-606C5E745080}"/>
                </c:ext>
              </c:extLst>
            </c:dLbl>
            <c:dLbl>
              <c:idx val="6"/>
              <c:layout>
                <c:manualLayout>
                  <c:x val="3.9132417527488556E-2"/>
                  <c:y val="0"/>
                </c:manualLayout>
              </c:layout>
              <c:tx>
                <c:rich>
                  <a:bodyPr/>
                  <a:lstStyle/>
                  <a:p>
                    <a:fld id="{3573CA44-E0D5-4E3C-A64A-1FAA4ED96C7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9DC5-4811-AAE7-606C5E745080}"/>
                </c:ext>
              </c:extLst>
            </c:dLbl>
            <c:dLbl>
              <c:idx val="7"/>
              <c:layout>
                <c:manualLayout>
                  <c:x val="2.9813218882709484E-2"/>
                  <c:y val="-3.3348956531007667E-3"/>
                </c:manualLayout>
              </c:layout>
              <c:tx>
                <c:rich>
                  <a:bodyPr/>
                  <a:lstStyle/>
                  <a:p>
                    <a:fld id="{2DE850F5-8B83-4272-A082-B73B9E7F57C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DC5-4811-AAE7-606C5E745080}"/>
                </c:ext>
              </c:extLst>
            </c:dLbl>
            <c:dLbl>
              <c:idx val="8"/>
              <c:layout>
                <c:manualLayout>
                  <c:x val="6.9697985382347338E-2"/>
                  <c:y val="-2.7493907682963948E-3"/>
                </c:manualLayout>
              </c:layout>
              <c:tx>
                <c:rich>
                  <a:bodyPr/>
                  <a:lstStyle/>
                  <a:p>
                    <a:fld id="{8B0EF897-9851-4C87-96EA-FBE0531E135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DC5-4811-AAE7-606C5E745080}"/>
                </c:ext>
              </c:extLst>
            </c:dLbl>
            <c:dLbl>
              <c:idx val="9"/>
              <c:layout>
                <c:manualLayout>
                  <c:x val="1.9524200528400367E-2"/>
                  <c:y val="-5.8218776190004588E-2"/>
                </c:manualLayout>
              </c:layout>
              <c:tx>
                <c:rich>
                  <a:bodyPr/>
                  <a:lstStyle/>
                  <a:p>
                    <a:fld id="{0357ACDE-4660-4D00-AE32-C4F7EB706E8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9DC5-4811-AAE7-606C5E745080}"/>
                </c:ext>
              </c:extLst>
            </c:dLbl>
            <c:dLbl>
              <c:idx val="10"/>
              <c:layout>
                <c:manualLayout>
                  <c:x val="2.5362890690798438E-2"/>
                  <c:y val="-3.2901432223794276E-2"/>
                </c:manualLayout>
              </c:layout>
              <c:tx>
                <c:rich>
                  <a:bodyPr/>
                  <a:lstStyle/>
                  <a:p>
                    <a:fld id="{1E85A504-7B97-4191-8765-E9C7ADA5227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931910278233884"/>
                      <c:h val="3.468329024960195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DC5-4811-AAE7-606C5E74508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borderCallout1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Runtime!$B$246:$B$256</c:f>
              <c:numCache>
                <c:formatCode>0.000</c:formatCode>
                <c:ptCount val="11"/>
                <c:pt idx="0">
                  <c:v>400.857012</c:v>
                </c:pt>
                <c:pt idx="1">
                  <c:v>46.964979466666669</c:v>
                </c:pt>
                <c:pt idx="2">
                  <c:v>0.13732106666666669</c:v>
                </c:pt>
                <c:pt idx="3">
                  <c:v>0.13205780000000003</c:v>
                </c:pt>
                <c:pt idx="4">
                  <c:v>0.20929439999999999</c:v>
                </c:pt>
                <c:pt idx="5">
                  <c:v>15.291390866666664</c:v>
                </c:pt>
                <c:pt idx="6">
                  <c:v>0.81688620000000012</c:v>
                </c:pt>
                <c:pt idx="7">
                  <c:v>19.87902433333333</c:v>
                </c:pt>
                <c:pt idx="8">
                  <c:v>1.3883186666666667</c:v>
                </c:pt>
                <c:pt idx="9">
                  <c:v>2.3927399000000005</c:v>
                </c:pt>
                <c:pt idx="10">
                  <c:v>75.145568100000006</c:v>
                </c:pt>
              </c:numCache>
            </c:numRef>
          </c:xVal>
          <c:yVal>
            <c:numRef>
              <c:f>Runtime!$C$246:$C$256</c:f>
              <c:numCache>
                <c:formatCode>0.000</c:formatCode>
                <c:ptCount val="11"/>
                <c:pt idx="0">
                  <c:v>707.04466528063381</c:v>
                </c:pt>
                <c:pt idx="1">
                  <c:v>74.386478576778941</c:v>
                </c:pt>
                <c:pt idx="2">
                  <c:v>0.20597528181818131</c:v>
                </c:pt>
                <c:pt idx="3">
                  <c:v>0.20075312212121155</c:v>
                </c:pt>
                <c:pt idx="4">
                  <c:v>0.32223790588235252</c:v>
                </c:pt>
                <c:pt idx="5">
                  <c:v>23.660970111957351</c:v>
                </c:pt>
                <c:pt idx="6">
                  <c:v>1.291673864544419</c:v>
                </c:pt>
                <c:pt idx="7">
                  <c:v>30.361428073043587</c:v>
                </c:pt>
                <c:pt idx="8">
                  <c:v>2.2178774016195701</c:v>
                </c:pt>
                <c:pt idx="9">
                  <c:v>3.8487147226592118</c:v>
                </c:pt>
                <c:pt idx="10">
                  <c:v>120.50303490061819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Runtime!$A$246:$A$256</c15:f>
                <c15:dlblRangeCache>
                  <c:ptCount val="11"/>
                  <c:pt idx="0">
                    <c:v>Classic-McEliece</c:v>
                  </c:pt>
                  <c:pt idx="1">
                    <c:v>FrodoKEM-640-AES</c:v>
                  </c:pt>
                  <c:pt idx="2">
                    <c:v>Kyber512</c:v>
                  </c:pt>
                  <c:pt idx="3">
                    <c:v>ML-KEM-512</c:v>
                  </c:pt>
                  <c:pt idx="4">
                    <c:v>ML-KEM-768</c:v>
                  </c:pt>
                  <c:pt idx="5">
                    <c:v>SNTRUP761</c:v>
                  </c:pt>
                  <c:pt idx="6">
                    <c:v>Dilithium2</c:v>
                  </c:pt>
                  <c:pt idx="7">
                    <c:v>Falcon-512</c:v>
                  </c:pt>
                  <c:pt idx="8">
                    <c:v>ML-DSA-44</c:v>
                  </c:pt>
                  <c:pt idx="9">
                    <c:v>ML-DSA-65</c:v>
                  </c:pt>
                  <c:pt idx="10">
                    <c:v>SPHINCS+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DC5-4811-AAE7-606C5E745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227408"/>
        <c:axId val="622222608"/>
      </c:scatterChart>
      <c:valAx>
        <c:axId val="62222740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 i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Runtime (s,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22608"/>
        <c:crossesAt val="1"/>
        <c:crossBetween val="midCat"/>
      </c:valAx>
      <c:valAx>
        <c:axId val="62222260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 i="0" baseline="0">
                    <a:solidFill>
                      <a:schemeClr val="tx1"/>
                    </a:solidFill>
                  </a:rPr>
                  <a:t>Energy (J,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27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4761972478531487E-2"/>
          <c:y val="2.0588573827869796E-2"/>
          <c:w val="0.92823700202747983"/>
          <c:h val="0.93409927151033145"/>
        </c:manualLayout>
      </c:layout>
      <c:scatterChart>
        <c:scatterStyle val="lineMarker"/>
        <c:varyColors val="0"/>
        <c:ser>
          <c:idx val="0"/>
          <c:order val="0"/>
          <c:tx>
            <c:strRef>
              <c:f>Runtime!$D$275</c:f>
              <c:strCache>
                <c:ptCount val="1"/>
                <c:pt idx="0">
                  <c:v>Ops/J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464831078256003E-2"/>
                  <c:y val="-1.6155699606115767E-17"/>
                </c:manualLayout>
              </c:layout>
              <c:tx>
                <c:rich>
                  <a:bodyPr/>
                  <a:lstStyle/>
                  <a:p>
                    <a:fld id="{2063F785-6691-45C4-A116-4FE716C0BAC8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AE6-4DE9-9478-BBBDE842B809}"/>
                </c:ext>
              </c:extLst>
            </c:dLbl>
            <c:dLbl>
              <c:idx val="1"/>
              <c:layout>
                <c:manualLayout>
                  <c:x val="4.8827702608533509E-3"/>
                  <c:y val="-4.5823968239077334E-2"/>
                </c:manualLayout>
              </c:layout>
              <c:tx>
                <c:rich>
                  <a:bodyPr/>
                  <a:lstStyle/>
                  <a:p>
                    <a:fld id="{8678D2F7-F5C6-4602-833D-3096327CEEB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2AE6-4DE9-9478-BBBDE842B809}"/>
                </c:ext>
              </c:extLst>
            </c:dLbl>
            <c:dLbl>
              <c:idx val="2"/>
              <c:layout>
                <c:manualLayout>
                  <c:x val="2.447157770766446E-3"/>
                  <c:y val="2.4020002799181428E-2"/>
                </c:manualLayout>
              </c:layout>
              <c:tx>
                <c:rich>
                  <a:bodyPr/>
                  <a:lstStyle/>
                  <a:p>
                    <a:fld id="{257849E8-00FF-4144-B2B1-BC0EDE0AEF1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D95B-44F6-9B54-6D7DA330C28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C9A8A0B-44A2-4933-B47B-AC8F24D42DA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95B-44F6-9B54-6D7DA330C283}"/>
                </c:ext>
              </c:extLst>
            </c:dLbl>
            <c:dLbl>
              <c:idx val="4"/>
              <c:layout>
                <c:manualLayout>
                  <c:x val="0"/>
                  <c:y val="-2.7451431770492998E-2"/>
                </c:manualLayout>
              </c:layout>
              <c:tx>
                <c:rich>
                  <a:bodyPr/>
                  <a:lstStyle/>
                  <a:p>
                    <a:fld id="{C0EF5F7D-8506-440A-A76F-8D8EF622F07F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95B-44F6-9B54-6D7DA330C283}"/>
                </c:ext>
              </c:extLst>
            </c:dLbl>
            <c:dLbl>
              <c:idx val="5"/>
              <c:layout>
                <c:manualLayout>
                  <c:x val="-2.4414812462290264E-3"/>
                  <c:y val="-7.3771948124436146E-2"/>
                </c:manualLayout>
              </c:layout>
              <c:tx>
                <c:rich>
                  <a:bodyPr/>
                  <a:lstStyle/>
                  <a:p>
                    <a:fld id="{630E09BB-5099-43F3-8829-87CE72DCF7F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AE6-4DE9-9478-BBBDE842B80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6974132-E0AE-4A2B-80E3-B579233383D4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95B-44F6-9B54-6D7DA330C28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55E31FB-A61C-4D10-998D-208D132AADAA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95B-44F6-9B54-6D7DA330C28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5B577C0-FE1A-4AC0-91AA-5678FBC3E1D4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95B-44F6-9B54-6D7DA330C28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5C20E51-1711-49BC-B718-7B378A7E0D10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95B-44F6-9B54-6D7DA330C28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70AA10F-DE98-449A-9910-50832C6603C2}" type="CELLRANGE">
                      <a:rPr lang="en-ID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95B-44F6-9B54-6D7DA330C28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Runtime!$C$276:$C$286</c:f>
              <c:numCache>
                <c:formatCode>0.000</c:formatCode>
                <c:ptCount val="11"/>
                <c:pt idx="0">
                  <c:v>0.20597528181818131</c:v>
                </c:pt>
                <c:pt idx="1">
                  <c:v>0.20075312212121155</c:v>
                </c:pt>
                <c:pt idx="2">
                  <c:v>0.32223790588235252</c:v>
                </c:pt>
                <c:pt idx="3">
                  <c:v>74.386478576778941</c:v>
                </c:pt>
                <c:pt idx="4">
                  <c:v>23.660970111957351</c:v>
                </c:pt>
                <c:pt idx="5">
                  <c:v>707.04466528063381</c:v>
                </c:pt>
                <c:pt idx="6">
                  <c:v>1.291673864544419</c:v>
                </c:pt>
                <c:pt idx="7">
                  <c:v>30.361428073043587</c:v>
                </c:pt>
                <c:pt idx="8">
                  <c:v>2.2178774016195701</c:v>
                </c:pt>
                <c:pt idx="9">
                  <c:v>3.8487147226592118</c:v>
                </c:pt>
                <c:pt idx="10">
                  <c:v>120.50303490061819</c:v>
                </c:pt>
              </c:numCache>
            </c:numRef>
          </c:xVal>
          <c:yVal>
            <c:numRef>
              <c:f>Runtime!$D$276:$D$286</c:f>
              <c:numCache>
                <c:formatCode>0.000</c:formatCode>
                <c:ptCount val="11"/>
                <c:pt idx="0">
                  <c:v>4.8549514833664409</c:v>
                </c:pt>
                <c:pt idx="1">
                  <c:v>4.9812425801089955</c:v>
                </c:pt>
                <c:pt idx="2">
                  <c:v>3.1032972277479209</c:v>
                </c:pt>
                <c:pt idx="3">
                  <c:v>1.3443303395089975E-2</c:v>
                </c:pt>
                <c:pt idx="4">
                  <c:v>4.2263693976547403E-2</c:v>
                </c:pt>
                <c:pt idx="5">
                  <c:v>1.4143378050990442E-3</c:v>
                </c:pt>
                <c:pt idx="6">
                  <c:v>0.77418923417847885</c:v>
                </c:pt>
                <c:pt idx="7">
                  <c:v>3.2936527148663693E-2</c:v>
                </c:pt>
                <c:pt idx="8">
                  <c:v>0.45088154975102129</c:v>
                </c:pt>
                <c:pt idx="9">
                  <c:v>0.25982699993650477</c:v>
                </c:pt>
                <c:pt idx="10">
                  <c:v>8.2985461803905987E-3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Runtime!$B$276:$B$286</c15:f>
                <c15:dlblRangeCache>
                  <c:ptCount val="11"/>
                  <c:pt idx="0">
                    <c:v>ML-KEM-512</c:v>
                  </c:pt>
                  <c:pt idx="1">
                    <c:v>Kyber512</c:v>
                  </c:pt>
                  <c:pt idx="2">
                    <c:v>ML-KEM-768</c:v>
                  </c:pt>
                  <c:pt idx="3">
                    <c:v>SNTRUP761</c:v>
                  </c:pt>
                  <c:pt idx="4">
                    <c:v>FrodoKEM-640-AES</c:v>
                  </c:pt>
                  <c:pt idx="5">
                    <c:v>Classic-McEliece</c:v>
                  </c:pt>
                  <c:pt idx="6">
                    <c:v>Dilithium2</c:v>
                  </c:pt>
                  <c:pt idx="7">
                    <c:v>ML-DSA-44</c:v>
                  </c:pt>
                  <c:pt idx="8">
                    <c:v>ML-DSA-65</c:v>
                  </c:pt>
                  <c:pt idx="9">
                    <c:v>Falcon-512</c:v>
                  </c:pt>
                  <c:pt idx="10">
                    <c:v>SPHINCS+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D95B-44F6-9B54-6D7DA330C2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2204368"/>
        <c:axId val="622188048"/>
      </c:scatterChart>
      <c:valAx>
        <c:axId val="622204368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 i="0" baseline="0">
                    <a:solidFill>
                      <a:schemeClr val="tx1"/>
                    </a:solidFill>
                  </a:rPr>
                  <a:t>Energy per ops (J/ops,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188048"/>
        <c:crosses val="autoZero"/>
        <c:crossBetween val="midCat"/>
      </c:valAx>
      <c:valAx>
        <c:axId val="6221880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 i="0" baseline="0">
                    <a:solidFill>
                      <a:schemeClr val="tx1"/>
                    </a:solidFill>
                  </a:rPr>
                  <a:t>Efficiency (ops/J, 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220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19609403349845"/>
          <c:y val="5.06862600324871E-2"/>
          <c:w val="0.72239219681104549"/>
          <c:h val="0.786180900967320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Energy!$C$23</c:f>
              <c:strCache>
                <c:ptCount val="1"/>
                <c:pt idx="0">
                  <c:v>Mean Energy (J)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Energy!$B$24:$B$34</c:f>
              <c:strCache>
                <c:ptCount val="11"/>
                <c:pt idx="0">
                  <c:v>ML-KEM-512</c:v>
                </c:pt>
                <c:pt idx="1">
                  <c:v>Kyber512</c:v>
                </c:pt>
                <c:pt idx="2">
                  <c:v>ML-KEM-768</c:v>
                </c:pt>
                <c:pt idx="3">
                  <c:v>SNTRUP761</c:v>
                </c:pt>
                <c:pt idx="4">
                  <c:v>FrodoKEM-640-AES</c:v>
                </c:pt>
                <c:pt idx="5">
                  <c:v>Classic-McEliece</c:v>
                </c:pt>
                <c:pt idx="6">
                  <c:v>Dilithium2</c:v>
                </c:pt>
                <c:pt idx="7">
                  <c:v>ML-DSA-44</c:v>
                </c:pt>
                <c:pt idx="8">
                  <c:v>ML-DSA-65</c:v>
                </c:pt>
                <c:pt idx="9">
                  <c:v>Falcon-512</c:v>
                </c:pt>
                <c:pt idx="10">
                  <c:v>SPHINCS+</c:v>
                </c:pt>
              </c:strCache>
            </c:strRef>
          </c:cat>
          <c:val>
            <c:numRef>
              <c:f>Energy!$C$24:$C$34</c:f>
              <c:numCache>
                <c:formatCode>0.000</c:formatCode>
                <c:ptCount val="11"/>
                <c:pt idx="0">
                  <c:v>0.20075312212121155</c:v>
                </c:pt>
                <c:pt idx="1">
                  <c:v>0.20597528181818131</c:v>
                </c:pt>
                <c:pt idx="2">
                  <c:v>0.32223790588235252</c:v>
                </c:pt>
                <c:pt idx="3">
                  <c:v>23.660970111957351</c:v>
                </c:pt>
                <c:pt idx="4">
                  <c:v>74.386478576778941</c:v>
                </c:pt>
                <c:pt idx="5">
                  <c:v>707.04466528063381</c:v>
                </c:pt>
                <c:pt idx="6">
                  <c:v>1.291673864544419</c:v>
                </c:pt>
                <c:pt idx="7">
                  <c:v>2.2178774016195701</c:v>
                </c:pt>
                <c:pt idx="8">
                  <c:v>3.8487147226592118</c:v>
                </c:pt>
                <c:pt idx="9">
                  <c:v>30.361428073043587</c:v>
                </c:pt>
                <c:pt idx="10">
                  <c:v>120.50303490061819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C9-4850-8CE8-7B2897E0C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0395567"/>
        <c:axId val="1390387407"/>
      </c:barChart>
      <c:catAx>
        <c:axId val="1390395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87407"/>
        <c:crossesAt val="0.1"/>
        <c:auto val="1"/>
        <c:lblAlgn val="ctr"/>
        <c:lblOffset val="100"/>
        <c:noMultiLvlLbl val="0"/>
      </c:catAx>
      <c:valAx>
        <c:axId val="1390387407"/>
        <c:scaling>
          <c:logBase val="10"/>
          <c:orientation val="minMax"/>
          <c:max val="7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 b="1" i="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</a:rPr>
                  <a:t>Energy (J, log scale)</a:t>
                </a:r>
              </a:p>
            </c:rich>
          </c:tx>
          <c:layout>
            <c:manualLayout>
              <c:xMode val="edge"/>
              <c:yMode val="edge"/>
              <c:x val="0.4832514307449492"/>
              <c:y val="0.9068983745928681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395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50800</xdr:colOff>
      <xdr:row>227</xdr:row>
      <xdr:rowOff>174171</xdr:rowOff>
    </xdr:from>
    <xdr:to>
      <xdr:col>14</xdr:col>
      <xdr:colOff>261983</xdr:colOff>
      <xdr:row>244</xdr:row>
      <xdr:rowOff>174172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0385A7-0FCA-F481-3393-BA8DDB39A6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691299</xdr:colOff>
      <xdr:row>245</xdr:row>
      <xdr:rowOff>175259</xdr:rowOff>
    </xdr:from>
    <xdr:to>
      <xdr:col>13</xdr:col>
      <xdr:colOff>284603</xdr:colOff>
      <xdr:row>271</xdr:row>
      <xdr:rowOff>172823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B70CC1C-26B4-3B11-189D-AAE50DF948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1069397</xdr:colOff>
      <xdr:row>273</xdr:row>
      <xdr:rowOff>18185</xdr:rowOff>
    </xdr:from>
    <xdr:to>
      <xdr:col>13</xdr:col>
      <xdr:colOff>17317</xdr:colOff>
      <xdr:row>293</xdr:row>
      <xdr:rowOff>8659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92D6BD7-FDA9-8C9B-67CE-1BABA97F6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</xdr:colOff>
      <xdr:row>21</xdr:row>
      <xdr:rowOff>167640</xdr:rowOff>
    </xdr:from>
    <xdr:to>
      <xdr:col>10</xdr:col>
      <xdr:colOff>533400</xdr:colOff>
      <xdr:row>36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001F7-2A60-0366-BD86-E8903CEE8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D50CA-C883-4FD0-AAA6-EB663CB3A9C3}">
  <dimension ref="A6:R71"/>
  <sheetViews>
    <sheetView topLeftCell="A20" workbookViewId="0">
      <selection activeCell="A33" sqref="A33:D46"/>
    </sheetView>
  </sheetViews>
  <sheetFormatPr defaultRowHeight="14.4" x14ac:dyDescent="0.3"/>
  <cols>
    <col min="1" max="1" width="21.44140625" bestFit="1" customWidth="1"/>
    <col min="3" max="3" width="13.109375" bestFit="1" customWidth="1"/>
    <col min="4" max="4" width="12.88671875" bestFit="1" customWidth="1"/>
    <col min="5" max="5" width="12.109375" bestFit="1" customWidth="1"/>
    <col min="6" max="6" width="14" customWidth="1"/>
    <col min="7" max="7" width="12" bestFit="1" customWidth="1"/>
    <col min="8" max="8" width="14.6640625" bestFit="1" customWidth="1"/>
    <col min="9" max="9" width="15" bestFit="1" customWidth="1"/>
    <col min="10" max="11" width="12" bestFit="1" customWidth="1"/>
    <col min="12" max="12" width="14.88671875" bestFit="1" customWidth="1"/>
    <col min="13" max="13" width="15.21875" bestFit="1" customWidth="1"/>
  </cols>
  <sheetData>
    <row r="6" spans="1:11" x14ac:dyDescent="0.3">
      <c r="A6" t="s">
        <v>0</v>
      </c>
      <c r="B6" t="s">
        <v>1</v>
      </c>
      <c r="C6" s="1" t="s">
        <v>2</v>
      </c>
      <c r="D6" s="1" t="s">
        <v>3</v>
      </c>
      <c r="E6" s="1" t="s">
        <v>4</v>
      </c>
      <c r="F6" s="1"/>
      <c r="H6" t="s">
        <v>1</v>
      </c>
      <c r="I6" s="1" t="s">
        <v>2</v>
      </c>
      <c r="J6" s="1" t="s">
        <v>3</v>
      </c>
      <c r="K6" s="1" t="s">
        <v>4</v>
      </c>
    </row>
    <row r="7" spans="1:11" x14ac:dyDescent="0.3">
      <c r="A7" t="s">
        <v>14</v>
      </c>
      <c r="B7" t="s">
        <v>12</v>
      </c>
      <c r="C7" s="2">
        <v>5.3961243789309297</v>
      </c>
      <c r="D7" s="2">
        <v>0.66055766471062505</v>
      </c>
      <c r="E7" s="2">
        <v>3.5644484896383002</v>
      </c>
      <c r="G7" t="s">
        <v>182</v>
      </c>
      <c r="H7" t="s">
        <v>12</v>
      </c>
      <c r="I7">
        <v>5.39407179487179</v>
      </c>
      <c r="J7">
        <v>0.59896739025640999</v>
      </c>
      <c r="K7">
        <v>3.23086737641025</v>
      </c>
    </row>
    <row r="8" spans="1:11" x14ac:dyDescent="0.3">
      <c r="A8" t="s">
        <v>14</v>
      </c>
      <c r="B8" t="s">
        <v>13</v>
      </c>
      <c r="C8" s="2">
        <v>5.3968691666666597</v>
      </c>
      <c r="D8" s="2">
        <v>0.44669991999999997</v>
      </c>
      <c r="E8" s="2">
        <v>2.41078188199999</v>
      </c>
      <c r="H8" t="s">
        <v>13</v>
      </c>
      <c r="I8">
        <v>5.3943358333333302</v>
      </c>
      <c r="J8">
        <v>0.43320042266666597</v>
      </c>
      <c r="K8">
        <v>2.33682805266666</v>
      </c>
    </row>
    <row r="9" spans="1:11" x14ac:dyDescent="0.3">
      <c r="A9" t="s">
        <v>15</v>
      </c>
      <c r="B9" t="s">
        <v>12</v>
      </c>
      <c r="C9" s="2">
        <v>5.3953264361514099</v>
      </c>
      <c r="D9" s="2">
        <v>0.58742851397863005</v>
      </c>
      <c r="E9" s="2">
        <v>3.1693690772653502</v>
      </c>
      <c r="G9" t="s">
        <v>213</v>
      </c>
      <c r="H9" t="s">
        <v>12</v>
      </c>
      <c r="I9">
        <v>5.3958657735356397</v>
      </c>
      <c r="J9">
        <v>0.56654217358272496</v>
      </c>
      <c r="K9">
        <v>3.0569852971301299</v>
      </c>
    </row>
    <row r="10" spans="1:11" x14ac:dyDescent="0.3">
      <c r="A10" t="s">
        <v>15</v>
      </c>
      <c r="B10" t="s">
        <v>13</v>
      </c>
      <c r="C10" s="2">
        <v>5.3949691666666597</v>
      </c>
      <c r="D10" s="2">
        <v>0.43819714866666598</v>
      </c>
      <c r="E10" s="2">
        <v>2.3640601746666601</v>
      </c>
      <c r="H10" t="s">
        <v>13</v>
      </c>
      <c r="I10">
        <v>5.3963108333333301</v>
      </c>
      <c r="J10">
        <v>0.43708822733333302</v>
      </c>
      <c r="K10">
        <v>2.35866422733333</v>
      </c>
    </row>
    <row r="11" spans="1:11" x14ac:dyDescent="0.3">
      <c r="A11" t="s">
        <v>16</v>
      </c>
      <c r="B11" t="s">
        <v>12</v>
      </c>
      <c r="C11" s="2">
        <v>5.3949507575757503</v>
      </c>
      <c r="D11" s="2">
        <v>0.59554102727272695</v>
      </c>
      <c r="E11" s="2">
        <v>3.2129243272727201</v>
      </c>
      <c r="G11" t="s">
        <v>244</v>
      </c>
      <c r="H11" t="s">
        <v>12</v>
      </c>
      <c r="I11">
        <v>5.3960946564885397</v>
      </c>
      <c r="J11">
        <v>0.59806363328244205</v>
      </c>
      <c r="K11">
        <v>3.2272140012213701</v>
      </c>
    </row>
    <row r="12" spans="1:11" x14ac:dyDescent="0.3">
      <c r="A12" t="s">
        <v>16</v>
      </c>
      <c r="B12" t="s">
        <v>13</v>
      </c>
      <c r="C12" s="2">
        <v>5.3955733333333296</v>
      </c>
      <c r="D12" s="2">
        <v>0.429063573333333</v>
      </c>
      <c r="E12" s="2">
        <v>2.3150435679999899</v>
      </c>
      <c r="H12" t="s">
        <v>13</v>
      </c>
      <c r="I12">
        <v>5.3963266666666598</v>
      </c>
      <c r="J12">
        <v>0.42414276466666601</v>
      </c>
      <c r="K12">
        <v>2.28881544</v>
      </c>
    </row>
    <row r="13" spans="1:11" x14ac:dyDescent="0.3">
      <c r="A13" t="s">
        <v>17</v>
      </c>
      <c r="B13" t="s">
        <v>12</v>
      </c>
      <c r="C13" s="2">
        <v>5.3947720364741603</v>
      </c>
      <c r="D13" s="2">
        <v>0.58347541337386</v>
      </c>
      <c r="E13" s="2">
        <v>3.1477214316109401</v>
      </c>
      <c r="G13" t="s">
        <v>275</v>
      </c>
      <c r="H13" t="s">
        <v>12</v>
      </c>
      <c r="I13">
        <v>5.3954976502926</v>
      </c>
      <c r="J13">
        <v>0.59851673275403405</v>
      </c>
      <c r="K13">
        <v>3.22929696843411</v>
      </c>
    </row>
    <row r="14" spans="1:11" x14ac:dyDescent="0.3">
      <c r="A14" t="s">
        <v>17</v>
      </c>
      <c r="B14" t="s">
        <v>13</v>
      </c>
      <c r="C14" s="2">
        <v>5.3953024999999997</v>
      </c>
      <c r="D14" s="2">
        <v>0.426017170666666</v>
      </c>
      <c r="E14" s="2">
        <v>2.2984916960000001</v>
      </c>
      <c r="H14" t="s">
        <v>13</v>
      </c>
      <c r="I14">
        <v>5.3956041666666597</v>
      </c>
      <c r="J14">
        <v>0.43098519533333302</v>
      </c>
      <c r="K14">
        <v>2.3254282573333298</v>
      </c>
    </row>
    <row r="15" spans="1:11" x14ac:dyDescent="0.3">
      <c r="A15" t="s">
        <v>18</v>
      </c>
      <c r="B15" t="s">
        <v>13</v>
      </c>
      <c r="C15" s="2">
        <v>5.3959999999999901</v>
      </c>
      <c r="D15" s="2">
        <v>0.42669903999999997</v>
      </c>
      <c r="E15" s="2">
        <v>2.3024680399999999</v>
      </c>
      <c r="G15" t="s">
        <v>306</v>
      </c>
      <c r="H15" t="s">
        <v>12</v>
      </c>
      <c r="I15">
        <v>5.3957319402672201</v>
      </c>
      <c r="J15">
        <v>0.59463324568826303</v>
      </c>
      <c r="K15">
        <v>3.2084817623319899</v>
      </c>
    </row>
    <row r="16" spans="1:11" x14ac:dyDescent="0.3">
      <c r="A16" t="s">
        <v>19</v>
      </c>
      <c r="B16" t="s">
        <v>12</v>
      </c>
      <c r="C16" s="2">
        <v>5.39559558823529</v>
      </c>
      <c r="D16" s="2">
        <v>0.58463319215686205</v>
      </c>
      <c r="E16" s="2">
        <v>3.1544453725490098</v>
      </c>
      <c r="H16" t="s">
        <v>13</v>
      </c>
      <c r="I16">
        <v>5.3955741666666599</v>
      </c>
      <c r="J16">
        <v>0.44006775733333298</v>
      </c>
      <c r="K16">
        <v>2.3744185713333299</v>
      </c>
    </row>
    <row r="17" spans="1:10" x14ac:dyDescent="0.3">
      <c r="A17" t="s">
        <v>19</v>
      </c>
      <c r="B17" t="s">
        <v>13</v>
      </c>
      <c r="C17" s="2">
        <v>5.3953724999999997</v>
      </c>
      <c r="D17" s="2">
        <v>0.42644223733333297</v>
      </c>
      <c r="E17" s="2">
        <v>2.3008147706666602</v>
      </c>
    </row>
    <row r="18" spans="1:10" x14ac:dyDescent="0.3">
      <c r="A18" t="s">
        <v>20</v>
      </c>
      <c r="B18" t="s">
        <v>12</v>
      </c>
      <c r="C18" s="2">
        <v>5.3958379124700899</v>
      </c>
      <c r="D18" s="2">
        <v>0.57409051883590201</v>
      </c>
      <c r="E18" s="2">
        <v>3.0976995314117102</v>
      </c>
    </row>
    <row r="19" spans="1:10" x14ac:dyDescent="0.3">
      <c r="A19" t="s">
        <v>20</v>
      </c>
      <c r="B19" t="s">
        <v>13</v>
      </c>
      <c r="C19" s="2">
        <v>5.39557166666666</v>
      </c>
      <c r="D19" s="2">
        <v>0.43839573666666598</v>
      </c>
      <c r="E19" s="2">
        <v>2.36539491466666</v>
      </c>
    </row>
    <row r="23" spans="1:10" x14ac:dyDescent="0.3">
      <c r="A23" s="3" t="s">
        <v>21</v>
      </c>
      <c r="B23" s="3" t="s">
        <v>22</v>
      </c>
      <c r="C23" s="3" t="s">
        <v>23</v>
      </c>
      <c r="D23" s="3" t="s">
        <v>24</v>
      </c>
      <c r="G23" s="3" t="s">
        <v>21</v>
      </c>
      <c r="H23" s="3" t="s">
        <v>22</v>
      </c>
      <c r="I23" s="3" t="s">
        <v>23</v>
      </c>
      <c r="J23" s="3" t="s">
        <v>24</v>
      </c>
    </row>
    <row r="24" spans="1:10" x14ac:dyDescent="0.3">
      <c r="A24" s="4" t="s">
        <v>25</v>
      </c>
      <c r="B24" s="4">
        <v>2.411</v>
      </c>
      <c r="C24" s="4">
        <v>3.5640000000000001</v>
      </c>
      <c r="D24" s="4">
        <v>1.153</v>
      </c>
      <c r="G24" t="s">
        <v>182</v>
      </c>
      <c r="H24" s="2">
        <f>K8</f>
        <v>2.33682805266666</v>
      </c>
      <c r="I24" s="2">
        <f>K7</f>
        <v>3.23086737641025</v>
      </c>
      <c r="J24" s="2">
        <f>I24-H24</f>
        <v>0.89403932374358996</v>
      </c>
    </row>
    <row r="25" spans="1:10" x14ac:dyDescent="0.3">
      <c r="A25" s="4" t="s">
        <v>15</v>
      </c>
      <c r="B25" s="4">
        <v>2.3639999999999999</v>
      </c>
      <c r="C25" s="4">
        <v>3.169</v>
      </c>
      <c r="D25" s="4">
        <v>0.80500000000000005</v>
      </c>
      <c r="G25" t="s">
        <v>213</v>
      </c>
      <c r="H25" s="2">
        <f>K10</f>
        <v>2.35866422733333</v>
      </c>
      <c r="I25" s="2">
        <f>K9</f>
        <v>3.0569852971301299</v>
      </c>
      <c r="J25" s="2">
        <f>I25-H25</f>
        <v>0.69832106979679986</v>
      </c>
    </row>
    <row r="26" spans="1:10" x14ac:dyDescent="0.3">
      <c r="A26" s="4" t="s">
        <v>16</v>
      </c>
      <c r="B26" s="4">
        <v>2.3149999999999999</v>
      </c>
      <c r="C26" s="4">
        <v>3.2130000000000001</v>
      </c>
      <c r="D26" s="4">
        <v>0.89800000000000002</v>
      </c>
      <c r="G26" t="s">
        <v>244</v>
      </c>
      <c r="H26" s="2">
        <f>K12</f>
        <v>2.28881544</v>
      </c>
      <c r="I26" s="2">
        <f>K11</f>
        <v>3.2272140012213701</v>
      </c>
      <c r="J26" s="2">
        <f t="shared" ref="J26:J28" si="0">I26-H26</f>
        <v>0.93839856122137011</v>
      </c>
    </row>
    <row r="27" spans="1:10" x14ac:dyDescent="0.3">
      <c r="A27" s="4" t="s">
        <v>17</v>
      </c>
      <c r="B27" s="4">
        <v>2.298</v>
      </c>
      <c r="C27" s="4">
        <v>3.1480000000000001</v>
      </c>
      <c r="D27" s="4">
        <v>0.85</v>
      </c>
      <c r="G27" t="s">
        <v>275</v>
      </c>
      <c r="H27" s="2">
        <f>K14</f>
        <v>2.3254282573333298</v>
      </c>
      <c r="I27" s="2">
        <f>K13</f>
        <v>3.22929696843411</v>
      </c>
      <c r="J27" s="2">
        <f t="shared" si="0"/>
        <v>0.90386871110078015</v>
      </c>
    </row>
    <row r="28" spans="1:10" x14ac:dyDescent="0.3">
      <c r="A28" s="4" t="s">
        <v>19</v>
      </c>
      <c r="B28" s="4">
        <v>2.3010000000000002</v>
      </c>
      <c r="C28" s="4">
        <v>3.1539999999999999</v>
      </c>
      <c r="D28" s="4">
        <v>0.85299999999999998</v>
      </c>
      <c r="G28" t="s">
        <v>306</v>
      </c>
      <c r="H28" s="2">
        <f>K16</f>
        <v>2.3744185713333299</v>
      </c>
      <c r="I28" s="2">
        <f>K15</f>
        <v>3.2084817623319899</v>
      </c>
      <c r="J28" s="2">
        <f t="shared" si="0"/>
        <v>0.83406319099866</v>
      </c>
    </row>
    <row r="29" spans="1:10" x14ac:dyDescent="0.3">
      <c r="A29" s="4" t="s">
        <v>20</v>
      </c>
      <c r="B29" s="4">
        <v>2.3650000000000002</v>
      </c>
      <c r="C29" s="4">
        <v>3.0979999999999999</v>
      </c>
      <c r="D29" s="4">
        <v>0.73299999999999998</v>
      </c>
    </row>
    <row r="30" spans="1:10" x14ac:dyDescent="0.3">
      <c r="A30" s="4"/>
      <c r="B30" s="4"/>
      <c r="C30" s="4"/>
      <c r="D30" s="4"/>
    </row>
    <row r="31" spans="1:10" x14ac:dyDescent="0.3">
      <c r="A31" t="s">
        <v>719</v>
      </c>
      <c r="B31" s="4"/>
      <c r="C31" s="4"/>
      <c r="D31" s="4"/>
    </row>
    <row r="32" spans="1:10" x14ac:dyDescent="0.3">
      <c r="A32" s="4"/>
      <c r="B32" s="4"/>
      <c r="C32" s="4"/>
      <c r="D32" s="4"/>
    </row>
    <row r="33" spans="1:4" x14ac:dyDescent="0.3">
      <c r="A33" s="4" t="s">
        <v>21</v>
      </c>
      <c r="B33" s="4" t="s">
        <v>22</v>
      </c>
      <c r="C33" s="4" t="s">
        <v>23</v>
      </c>
      <c r="D33" s="4" t="s">
        <v>24</v>
      </c>
    </row>
    <row r="34" spans="1:4" x14ac:dyDescent="0.3">
      <c r="A34" s="4" t="s">
        <v>180</v>
      </c>
      <c r="B34" s="4"/>
      <c r="C34" s="4"/>
      <c r="D34" s="4"/>
    </row>
    <row r="35" spans="1:4" x14ac:dyDescent="0.3">
      <c r="A35" s="4" t="s">
        <v>25</v>
      </c>
      <c r="B35" s="4">
        <v>2.411</v>
      </c>
      <c r="C35" s="4">
        <v>3.5640000000000001</v>
      </c>
      <c r="D35" s="4">
        <v>1.153</v>
      </c>
    </row>
    <row r="36" spans="1:4" x14ac:dyDescent="0.3">
      <c r="A36" s="4" t="s">
        <v>15</v>
      </c>
      <c r="B36" s="4">
        <v>2.3639999999999999</v>
      </c>
      <c r="C36" s="4">
        <v>3.169</v>
      </c>
      <c r="D36" s="4">
        <v>0.80500000000000005</v>
      </c>
    </row>
    <row r="37" spans="1:4" x14ac:dyDescent="0.3">
      <c r="A37" s="4" t="s">
        <v>16</v>
      </c>
      <c r="B37" s="4">
        <v>2.3149999999999999</v>
      </c>
      <c r="C37" s="4">
        <v>3.2130000000000001</v>
      </c>
      <c r="D37" s="4">
        <v>0.89800000000000002</v>
      </c>
    </row>
    <row r="38" spans="1:4" x14ac:dyDescent="0.3">
      <c r="A38" s="4" t="s">
        <v>17</v>
      </c>
      <c r="B38" s="4">
        <v>2.298</v>
      </c>
      <c r="C38" s="4">
        <v>3.1480000000000001</v>
      </c>
      <c r="D38" s="4">
        <v>0.85</v>
      </c>
    </row>
    <row r="39" spans="1:4" x14ac:dyDescent="0.3">
      <c r="A39" s="4" t="s">
        <v>19</v>
      </c>
      <c r="B39" s="4">
        <v>2.3010000000000002</v>
      </c>
      <c r="C39" s="4">
        <v>3.1539999999999999</v>
      </c>
      <c r="D39" s="4">
        <v>0.85299999999999998</v>
      </c>
    </row>
    <row r="40" spans="1:4" x14ac:dyDescent="0.3">
      <c r="A40" s="4" t="s">
        <v>20</v>
      </c>
      <c r="B40" s="4">
        <v>2.3650000000000002</v>
      </c>
      <c r="C40" s="4">
        <v>3.0979999999999999</v>
      </c>
      <c r="D40" s="4">
        <v>0.73299999999999998</v>
      </c>
    </row>
    <row r="41" spans="1:4" x14ac:dyDescent="0.3">
      <c r="A41" s="4" t="s">
        <v>717</v>
      </c>
      <c r="B41" s="4"/>
      <c r="C41" s="4"/>
      <c r="D41" s="4"/>
    </row>
    <row r="42" spans="1:4" x14ac:dyDescent="0.3">
      <c r="A42" s="4" t="s">
        <v>182</v>
      </c>
      <c r="B42" s="15">
        <v>2.33682805266666</v>
      </c>
      <c r="C42" s="15">
        <v>3.23086737641025</v>
      </c>
      <c r="D42" s="15">
        <v>0.89403932374358996</v>
      </c>
    </row>
    <row r="43" spans="1:4" x14ac:dyDescent="0.3">
      <c r="A43" s="4" t="s">
        <v>213</v>
      </c>
      <c r="B43" s="15">
        <v>2.35866422733333</v>
      </c>
      <c r="C43" s="15">
        <v>3.0569852971301299</v>
      </c>
      <c r="D43" s="15">
        <v>0.69832106979679986</v>
      </c>
    </row>
    <row r="44" spans="1:4" x14ac:dyDescent="0.3">
      <c r="A44" s="4" t="s">
        <v>244</v>
      </c>
      <c r="B44" s="15">
        <v>2.28881544</v>
      </c>
      <c r="C44" s="15">
        <v>3.2272140012213701</v>
      </c>
      <c r="D44" s="15">
        <v>0.93839856122137011</v>
      </c>
    </row>
    <row r="45" spans="1:4" x14ac:dyDescent="0.3">
      <c r="A45" s="4" t="s">
        <v>275</v>
      </c>
      <c r="B45" s="15">
        <v>2.3254282573333298</v>
      </c>
      <c r="C45" s="15">
        <v>3.22929696843411</v>
      </c>
      <c r="D45" s="15">
        <v>0.90386871110078015</v>
      </c>
    </row>
    <row r="46" spans="1:4" ht="28.8" x14ac:dyDescent="0.3">
      <c r="A46" s="4" t="s">
        <v>306</v>
      </c>
      <c r="B46" s="15">
        <v>2.3744185713333299</v>
      </c>
      <c r="C46" s="15">
        <v>3.2084817623319899</v>
      </c>
      <c r="D46" s="15">
        <v>0.83406319099866</v>
      </c>
    </row>
    <row r="47" spans="1:4" x14ac:dyDescent="0.3">
      <c r="A47" s="4"/>
      <c r="B47" s="4"/>
      <c r="C47" s="4"/>
      <c r="D47" s="4"/>
    </row>
    <row r="48" spans="1:4" x14ac:dyDescent="0.3">
      <c r="A48" s="4"/>
      <c r="B48" s="4"/>
      <c r="C48" s="4"/>
      <c r="D48" s="4"/>
    </row>
    <row r="51" spans="1:18" x14ac:dyDescent="0.3">
      <c r="A51" t="s">
        <v>0</v>
      </c>
      <c r="B51" t="s">
        <v>1</v>
      </c>
      <c r="C51" t="s">
        <v>2</v>
      </c>
      <c r="D51" t="s">
        <v>372</v>
      </c>
      <c r="E51" t="s">
        <v>373</v>
      </c>
      <c r="F51" t="s">
        <v>374</v>
      </c>
      <c r="G51" t="s">
        <v>3</v>
      </c>
      <c r="H51" t="s">
        <v>375</v>
      </c>
      <c r="I51" t="s">
        <v>376</v>
      </c>
      <c r="J51" t="s">
        <v>377</v>
      </c>
      <c r="K51" t="s">
        <v>4</v>
      </c>
      <c r="L51" t="s">
        <v>5</v>
      </c>
      <c r="M51" t="s">
        <v>6</v>
      </c>
      <c r="N51" t="s">
        <v>7</v>
      </c>
      <c r="O51" t="s">
        <v>8</v>
      </c>
      <c r="P51" t="s">
        <v>9</v>
      </c>
      <c r="Q51" t="s">
        <v>10</v>
      </c>
      <c r="R51" t="s">
        <v>11</v>
      </c>
    </row>
    <row r="53" spans="1:18" x14ac:dyDescent="0.3">
      <c r="A53" t="s">
        <v>591</v>
      </c>
      <c r="B53" t="s">
        <v>13</v>
      </c>
      <c r="C53">
        <v>5.3963749999999902</v>
      </c>
      <c r="D53">
        <v>0.43539225999999898</v>
      </c>
      <c r="E53">
        <v>2.34952688</v>
      </c>
    </row>
    <row r="54" spans="1:18" x14ac:dyDescent="0.3">
      <c r="A54" t="s">
        <v>408</v>
      </c>
      <c r="B54" t="s">
        <v>12</v>
      </c>
      <c r="C54">
        <v>5.39407179487179</v>
      </c>
      <c r="D54">
        <v>0.59896739025640999</v>
      </c>
      <c r="E54">
        <v>3.23086737641025</v>
      </c>
    </row>
    <row r="55" spans="1:18" x14ac:dyDescent="0.3">
      <c r="A55" t="s">
        <v>408</v>
      </c>
      <c r="B55" t="s">
        <v>13</v>
      </c>
      <c r="C55">
        <v>5.3943358333333302</v>
      </c>
      <c r="D55">
        <v>0.43320042266666597</v>
      </c>
      <c r="E55">
        <v>2.33682805266666</v>
      </c>
    </row>
    <row r="57" spans="1:18" x14ac:dyDescent="0.3">
      <c r="A57" t="s">
        <v>621</v>
      </c>
      <c r="B57" t="s">
        <v>13</v>
      </c>
      <c r="C57">
        <v>5.3963999999999999</v>
      </c>
      <c r="D57">
        <v>0.43933303999999901</v>
      </c>
      <c r="E57">
        <v>2.3708206600000001</v>
      </c>
    </row>
    <row r="58" spans="1:18" x14ac:dyDescent="0.3">
      <c r="A58" t="s">
        <v>408</v>
      </c>
      <c r="B58" t="s">
        <v>12</v>
      </c>
      <c r="C58">
        <v>5.3958657735356397</v>
      </c>
      <c r="D58">
        <v>0.56654217358272496</v>
      </c>
      <c r="E58">
        <v>3.0569852971301299</v>
      </c>
    </row>
    <row r="59" spans="1:18" x14ac:dyDescent="0.3">
      <c r="A59" t="s">
        <v>408</v>
      </c>
      <c r="B59" t="s">
        <v>13</v>
      </c>
      <c r="C59">
        <v>5.3963108333333301</v>
      </c>
      <c r="D59">
        <v>0.43708822733333302</v>
      </c>
      <c r="E59">
        <v>2.35866422733333</v>
      </c>
    </row>
    <row r="61" spans="1:18" x14ac:dyDescent="0.3">
      <c r="A61" t="s">
        <v>651</v>
      </c>
      <c r="B61" t="s">
        <v>13</v>
      </c>
      <c r="C61">
        <v>5.3958000000000004</v>
      </c>
      <c r="D61">
        <v>0.43091145999999902</v>
      </c>
      <c r="E61">
        <v>2.32511264</v>
      </c>
    </row>
    <row r="62" spans="1:18" x14ac:dyDescent="0.3">
      <c r="A62" t="s">
        <v>408</v>
      </c>
      <c r="B62" t="s">
        <v>12</v>
      </c>
      <c r="C62">
        <v>5.3960946564885397</v>
      </c>
      <c r="D62">
        <v>0.59806363328244205</v>
      </c>
      <c r="E62">
        <v>3.2272140012213701</v>
      </c>
    </row>
    <row r="63" spans="1:18" x14ac:dyDescent="0.3">
      <c r="A63" t="s">
        <v>408</v>
      </c>
      <c r="B63" t="s">
        <v>13</v>
      </c>
      <c r="C63">
        <v>5.3963266666666598</v>
      </c>
      <c r="D63">
        <v>0.42414276466666601</v>
      </c>
      <c r="E63">
        <v>2.28881544</v>
      </c>
    </row>
    <row r="65" spans="1:5" x14ac:dyDescent="0.3">
      <c r="A65" t="s">
        <v>681</v>
      </c>
      <c r="B65" t="s">
        <v>13</v>
      </c>
      <c r="C65">
        <v>5.3946249999999996</v>
      </c>
      <c r="D65">
        <v>0.36500221999999999</v>
      </c>
      <c r="E65">
        <v>1.9690466200000001</v>
      </c>
    </row>
    <row r="66" spans="1:5" x14ac:dyDescent="0.3">
      <c r="A66" t="s">
        <v>408</v>
      </c>
      <c r="B66" t="s">
        <v>12</v>
      </c>
      <c r="C66">
        <v>5.3954976502926</v>
      </c>
      <c r="D66">
        <v>0.59851673275403405</v>
      </c>
      <c r="E66">
        <v>3.22929696843411</v>
      </c>
    </row>
    <row r="67" spans="1:5" x14ac:dyDescent="0.3">
      <c r="A67" t="s">
        <v>408</v>
      </c>
      <c r="B67" t="s">
        <v>13</v>
      </c>
      <c r="C67">
        <v>5.3956041666666597</v>
      </c>
      <c r="D67">
        <v>0.43098519533333302</v>
      </c>
      <c r="E67">
        <v>2.3254282573333298</v>
      </c>
    </row>
    <row r="69" spans="1:5" x14ac:dyDescent="0.3">
      <c r="A69" t="s">
        <v>711</v>
      </c>
      <c r="B69" t="s">
        <v>13</v>
      </c>
      <c r="C69">
        <v>5.3955250000000001</v>
      </c>
      <c r="D69">
        <v>0.44100657999999998</v>
      </c>
      <c r="E69">
        <v>2.3794643999999998</v>
      </c>
    </row>
    <row r="70" spans="1:5" x14ac:dyDescent="0.3">
      <c r="A70" t="s">
        <v>408</v>
      </c>
      <c r="B70" t="s">
        <v>12</v>
      </c>
      <c r="C70">
        <v>5.3957319402672201</v>
      </c>
      <c r="D70">
        <v>0.59463324568826303</v>
      </c>
      <c r="E70">
        <v>3.2084817623319899</v>
      </c>
    </row>
    <row r="71" spans="1:5" x14ac:dyDescent="0.3">
      <c r="A71" t="s">
        <v>408</v>
      </c>
      <c r="B71" t="s">
        <v>13</v>
      </c>
      <c r="C71">
        <v>5.3955741666666599</v>
      </c>
      <c r="D71">
        <v>0.44006775733333298</v>
      </c>
      <c r="E71">
        <v>2.3744185713333299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E85-C8DC-460C-93D4-7C7E7C2DB1C0}">
  <dimension ref="A6:V286"/>
  <sheetViews>
    <sheetView tabSelected="1" topLeftCell="C269" zoomScale="115" workbookViewId="0">
      <selection activeCell="G285" sqref="G285"/>
    </sheetView>
  </sheetViews>
  <sheetFormatPr defaultRowHeight="14.4" x14ac:dyDescent="0.3"/>
  <cols>
    <col min="1" max="1" width="21.44140625" bestFit="1" customWidth="1"/>
    <col min="2" max="2" width="9.5546875" bestFit="1" customWidth="1"/>
    <col min="3" max="3" width="11.109375" bestFit="1" customWidth="1"/>
    <col min="4" max="4" width="11" bestFit="1" customWidth="1"/>
    <col min="7" max="7" width="21.44140625" bestFit="1" customWidth="1"/>
    <col min="8" max="8" width="12" bestFit="1" customWidth="1"/>
    <col min="9" max="11" width="12" customWidth="1"/>
    <col min="13" max="13" width="12.77734375" customWidth="1"/>
    <col min="16" max="16" width="10" bestFit="1" customWidth="1"/>
  </cols>
  <sheetData>
    <row r="6" spans="1:17" x14ac:dyDescent="0.3">
      <c r="A6" t="s">
        <v>26</v>
      </c>
      <c r="B6" t="s">
        <v>27</v>
      </c>
      <c r="C6" t="s">
        <v>28</v>
      </c>
      <c r="D6" t="s">
        <v>29</v>
      </c>
      <c r="F6" s="1" t="s">
        <v>181</v>
      </c>
      <c r="G6" s="1" t="s">
        <v>21</v>
      </c>
      <c r="H6" s="1" t="s">
        <v>716</v>
      </c>
      <c r="I6" s="1" t="s">
        <v>338</v>
      </c>
      <c r="J6" s="1" t="s">
        <v>339</v>
      </c>
      <c r="K6" s="1" t="s">
        <v>340</v>
      </c>
      <c r="M6" t="s">
        <v>26</v>
      </c>
      <c r="N6" t="s">
        <v>0</v>
      </c>
      <c r="O6" t="s">
        <v>27</v>
      </c>
      <c r="P6" t="s">
        <v>28</v>
      </c>
      <c r="Q6" t="s">
        <v>29</v>
      </c>
    </row>
    <row r="7" spans="1:17" x14ac:dyDescent="0.3">
      <c r="A7" t="s">
        <v>14</v>
      </c>
      <c r="B7">
        <v>1</v>
      </c>
      <c r="C7" s="2">
        <v>400.857012</v>
      </c>
      <c r="D7" s="2">
        <v>400.857012</v>
      </c>
      <c r="F7" t="s">
        <v>180</v>
      </c>
      <c r="G7" t="s">
        <v>14</v>
      </c>
      <c r="H7" s="2">
        <v>400.857012</v>
      </c>
      <c r="I7" s="2">
        <f>E37</f>
        <v>7.0781252922715936</v>
      </c>
      <c r="J7" s="2">
        <f>G37</f>
        <v>1.7833961021418785</v>
      </c>
      <c r="K7" s="6">
        <f>I37</f>
        <v>2.6430154208769348</v>
      </c>
      <c r="M7" t="s">
        <v>182</v>
      </c>
      <c r="N7" t="s">
        <v>183</v>
      </c>
      <c r="O7">
        <v>1</v>
      </c>
      <c r="P7">
        <v>0.78351599999999999</v>
      </c>
      <c r="Q7">
        <v>0.78351599999999999</v>
      </c>
    </row>
    <row r="8" spans="1:17" x14ac:dyDescent="0.3">
      <c r="A8" t="s">
        <v>14</v>
      </c>
      <c r="B8">
        <v>2</v>
      </c>
      <c r="C8" s="2">
        <v>400.41904299999999</v>
      </c>
      <c r="D8" s="2">
        <v>400.41904299999999</v>
      </c>
      <c r="F8" t="s">
        <v>180</v>
      </c>
      <c r="G8" t="s">
        <v>15</v>
      </c>
      <c r="H8" s="2">
        <f>D70</f>
        <v>46.964979466666669</v>
      </c>
      <c r="I8" s="2">
        <f>F70</f>
        <v>9.4198757922382664E-2</v>
      </c>
      <c r="J8" s="2">
        <f>H70</f>
        <v>0.20057233920274595</v>
      </c>
      <c r="K8" s="6">
        <f>J70</f>
        <v>3.5174394283208399E-2</v>
      </c>
      <c r="M8" t="s">
        <v>182</v>
      </c>
      <c r="N8" t="s">
        <v>184</v>
      </c>
      <c r="O8">
        <v>2</v>
      </c>
      <c r="P8">
        <v>0.79619300000000004</v>
      </c>
      <c r="Q8">
        <v>0.79619300000000004</v>
      </c>
    </row>
    <row r="9" spans="1:17" x14ac:dyDescent="0.3">
      <c r="A9" t="s">
        <v>14</v>
      </c>
      <c r="B9">
        <v>3</v>
      </c>
      <c r="C9" s="2">
        <v>394.73194899999999</v>
      </c>
      <c r="D9" s="2">
        <v>394.73194899999999</v>
      </c>
      <c r="F9" t="s">
        <v>180</v>
      </c>
      <c r="G9" t="s">
        <v>16</v>
      </c>
      <c r="H9" s="2">
        <f>D104</f>
        <v>0.13732106666666669</v>
      </c>
      <c r="I9" s="2">
        <f>F104</f>
        <v>5.4484049759181052E-4</v>
      </c>
      <c r="J9" s="2">
        <f>H104</f>
        <v>0.39676395677464188</v>
      </c>
      <c r="K9" s="6">
        <f>J104</f>
        <v>2.0344678535511897E-4</v>
      </c>
      <c r="M9" t="s">
        <v>182</v>
      </c>
      <c r="N9" t="s">
        <v>185</v>
      </c>
      <c r="O9">
        <v>3</v>
      </c>
      <c r="P9">
        <v>0.84750300000000001</v>
      </c>
      <c r="Q9">
        <v>0.84750300000000001</v>
      </c>
    </row>
    <row r="10" spans="1:17" x14ac:dyDescent="0.3">
      <c r="A10" t="s">
        <v>14</v>
      </c>
      <c r="B10">
        <v>4</v>
      </c>
      <c r="C10" s="2">
        <v>391.418319</v>
      </c>
      <c r="D10" s="2">
        <v>391.418319</v>
      </c>
      <c r="F10" t="s">
        <v>180</v>
      </c>
      <c r="G10" t="s">
        <v>17</v>
      </c>
      <c r="H10" s="2">
        <f>D138</f>
        <v>0.13205780000000003</v>
      </c>
      <c r="I10" s="2">
        <f>F138</f>
        <v>3.9456614322482187E-4</v>
      </c>
      <c r="J10" s="2">
        <f>H138</f>
        <v>0.29878291416699487</v>
      </c>
      <c r="K10" s="6">
        <f>J138</f>
        <v>1.47333419237124E-4</v>
      </c>
      <c r="M10" t="s">
        <v>182</v>
      </c>
      <c r="N10" t="s">
        <v>186</v>
      </c>
      <c r="O10">
        <v>4</v>
      </c>
      <c r="P10">
        <v>0.79536600000000002</v>
      </c>
      <c r="Q10">
        <v>0.79536600000000002</v>
      </c>
    </row>
    <row r="11" spans="1:17" x14ac:dyDescent="0.3">
      <c r="A11" t="s">
        <v>14</v>
      </c>
      <c r="B11">
        <v>5</v>
      </c>
      <c r="C11" s="2">
        <v>391.81857400000001</v>
      </c>
      <c r="D11" s="2">
        <v>391.81857400000001</v>
      </c>
      <c r="F11" t="s">
        <v>180</v>
      </c>
      <c r="G11" t="s">
        <v>19</v>
      </c>
      <c r="H11" s="2">
        <f>D172</f>
        <v>0.20929439999999999</v>
      </c>
      <c r="I11" s="2">
        <f>F172</f>
        <v>6.0942672892730419E-4</v>
      </c>
      <c r="J11" s="2">
        <f>H172</f>
        <v>0.2911815743408826</v>
      </c>
      <c r="K11" s="6">
        <f>J172</f>
        <v>2.2756368048587063E-4</v>
      </c>
      <c r="M11" t="s">
        <v>182</v>
      </c>
      <c r="N11" t="s">
        <v>187</v>
      </c>
      <c r="O11">
        <v>5</v>
      </c>
      <c r="P11">
        <v>0.84800699999999996</v>
      </c>
      <c r="Q11">
        <v>0.84800699999999996</v>
      </c>
    </row>
    <row r="12" spans="1:17" x14ac:dyDescent="0.3">
      <c r="A12" t="s">
        <v>14</v>
      </c>
      <c r="B12">
        <v>6</v>
      </c>
      <c r="C12" s="2">
        <v>396.00418400000001</v>
      </c>
      <c r="D12" s="2">
        <v>396.00418400000001</v>
      </c>
      <c r="F12" t="s">
        <v>180</v>
      </c>
      <c r="G12" t="s">
        <v>20</v>
      </c>
      <c r="H12" s="2">
        <f>D206</f>
        <v>15.291390866666664</v>
      </c>
      <c r="I12" s="2">
        <f>F206</f>
        <v>6.2043300590148759E-2</v>
      </c>
      <c r="J12" s="2">
        <f>H206</f>
        <v>0.40574007381758492</v>
      </c>
      <c r="K12" s="6">
        <f>J206</f>
        <v>2.3167349185089007E-2</v>
      </c>
      <c r="M12" t="s">
        <v>182</v>
      </c>
      <c r="N12" t="s">
        <v>188</v>
      </c>
      <c r="O12">
        <v>6</v>
      </c>
      <c r="P12">
        <v>0.77698800000000001</v>
      </c>
      <c r="Q12">
        <v>0.77698800000000001</v>
      </c>
    </row>
    <row r="13" spans="1:17" x14ac:dyDescent="0.3">
      <c r="A13" t="s">
        <v>14</v>
      </c>
      <c r="B13">
        <v>7</v>
      </c>
      <c r="C13" s="2">
        <v>412.38398599999999</v>
      </c>
      <c r="D13" s="2">
        <v>412.38398599999999</v>
      </c>
      <c r="F13" t="s">
        <v>337</v>
      </c>
      <c r="G13" t="s">
        <v>182</v>
      </c>
      <c r="H13" s="2">
        <f>P37</f>
        <v>0.81688620000000012</v>
      </c>
      <c r="I13" s="2">
        <f>R37</f>
        <v>3.1814700082476513E-2</v>
      </c>
      <c r="J13" s="2">
        <f>T37</f>
        <v>3.8946306208228894</v>
      </c>
      <c r="K13" s="6">
        <f>V37</f>
        <v>1.1879804249915167E-2</v>
      </c>
      <c r="M13" t="s">
        <v>182</v>
      </c>
      <c r="N13" t="s">
        <v>189</v>
      </c>
      <c r="O13">
        <v>7</v>
      </c>
      <c r="P13">
        <v>0.83376600000000001</v>
      </c>
      <c r="Q13">
        <v>0.83376600000000001</v>
      </c>
    </row>
    <row r="14" spans="1:17" x14ac:dyDescent="0.3">
      <c r="A14" t="s">
        <v>14</v>
      </c>
      <c r="B14">
        <v>8</v>
      </c>
      <c r="C14" s="2">
        <v>405.33460700000001</v>
      </c>
      <c r="D14" s="2">
        <v>405.33460700000001</v>
      </c>
      <c r="F14" t="s">
        <v>337</v>
      </c>
      <c r="G14" t="s">
        <v>213</v>
      </c>
      <c r="H14" s="2">
        <f>P70</f>
        <v>19.87902433333333</v>
      </c>
      <c r="I14" s="2">
        <f>R70</f>
        <v>0.16479974935772132</v>
      </c>
      <c r="J14" s="2">
        <f>T70</f>
        <v>0.82901326842979706</v>
      </c>
      <c r="K14" s="6">
        <f>V70</f>
        <v>6.1537237746369933E-2</v>
      </c>
      <c r="M14" t="s">
        <v>182</v>
      </c>
      <c r="N14" t="s">
        <v>190</v>
      </c>
      <c r="O14">
        <v>8</v>
      </c>
      <c r="P14">
        <v>0.77676199999999995</v>
      </c>
      <c r="Q14">
        <v>0.77676199999999995</v>
      </c>
    </row>
    <row r="15" spans="1:17" x14ac:dyDescent="0.3">
      <c r="A15" t="s">
        <v>14</v>
      </c>
      <c r="B15">
        <v>9</v>
      </c>
      <c r="C15" s="2">
        <v>397.25681600000001</v>
      </c>
      <c r="D15" s="2">
        <v>397.25681600000001</v>
      </c>
      <c r="F15" t="s">
        <v>337</v>
      </c>
      <c r="G15" t="s">
        <v>244</v>
      </c>
      <c r="H15" s="2">
        <f>P104</f>
        <v>1.3883186666666667</v>
      </c>
      <c r="I15" s="2">
        <f>R104</f>
        <v>2.9661578366557018E-2</v>
      </c>
      <c r="J15" s="2">
        <f>T104</f>
        <v>2.1365108082695485</v>
      </c>
      <c r="K15" s="6">
        <f>V104</f>
        <v>1.1075815388003698E-2</v>
      </c>
      <c r="M15" t="s">
        <v>182</v>
      </c>
      <c r="N15" t="s">
        <v>191</v>
      </c>
      <c r="O15">
        <v>9</v>
      </c>
      <c r="P15">
        <v>0.85395399999999999</v>
      </c>
      <c r="Q15">
        <v>0.85395399999999999</v>
      </c>
    </row>
    <row r="16" spans="1:17" x14ac:dyDescent="0.3">
      <c r="A16" t="s">
        <v>14</v>
      </c>
      <c r="B16">
        <v>10</v>
      </c>
      <c r="C16" s="2">
        <v>394.59939500000002</v>
      </c>
      <c r="D16" s="2">
        <v>394.59939500000002</v>
      </c>
      <c r="F16" t="s">
        <v>337</v>
      </c>
      <c r="G16" t="s">
        <v>275</v>
      </c>
      <c r="H16" s="2">
        <f>P138</f>
        <v>2.3927399000000005</v>
      </c>
      <c r="I16" s="2">
        <f>R138</f>
        <v>3.9817511355882892E-2</v>
      </c>
      <c r="J16" s="2">
        <f>T138</f>
        <v>1.6640969357297415</v>
      </c>
      <c r="K16" s="6">
        <f>V138</f>
        <v>1.4868103090722017E-2</v>
      </c>
      <c r="M16" t="s">
        <v>182</v>
      </c>
      <c r="N16" t="s">
        <v>192</v>
      </c>
      <c r="O16">
        <v>10</v>
      </c>
      <c r="P16">
        <v>0.78535999999999995</v>
      </c>
      <c r="Q16">
        <v>0.78535999999999995</v>
      </c>
    </row>
    <row r="17" spans="1:17" x14ac:dyDescent="0.3">
      <c r="A17" t="s">
        <v>14</v>
      </c>
      <c r="B17">
        <v>11</v>
      </c>
      <c r="C17" s="2">
        <v>397.58608600000002</v>
      </c>
      <c r="D17" s="2">
        <v>397.58608600000002</v>
      </c>
      <c r="F17" t="s">
        <v>337</v>
      </c>
      <c r="G17" t="s">
        <v>306</v>
      </c>
      <c r="H17" s="2">
        <f>P172</f>
        <v>75.145568100000006</v>
      </c>
      <c r="I17" s="2">
        <f>R172</f>
        <v>0.55946866867063483</v>
      </c>
      <c r="J17" s="2">
        <f>T172</f>
        <v>0.74451319328123466</v>
      </c>
      <c r="K17" s="6">
        <f>V172</f>
        <v>0.20890903420549933</v>
      </c>
      <c r="M17" t="s">
        <v>182</v>
      </c>
      <c r="N17" t="s">
        <v>193</v>
      </c>
      <c r="O17">
        <v>11</v>
      </c>
      <c r="P17">
        <v>0.84508399999999995</v>
      </c>
      <c r="Q17">
        <v>0.84508399999999995</v>
      </c>
    </row>
    <row r="18" spans="1:17" x14ac:dyDescent="0.3">
      <c r="A18" t="s">
        <v>14</v>
      </c>
      <c r="B18">
        <v>12</v>
      </c>
      <c r="C18" s="2">
        <v>390.809867</v>
      </c>
      <c r="D18" s="2">
        <v>390.809867</v>
      </c>
      <c r="M18" t="s">
        <v>182</v>
      </c>
      <c r="N18" t="s">
        <v>194</v>
      </c>
      <c r="O18">
        <v>12</v>
      </c>
      <c r="P18">
        <v>0.797794</v>
      </c>
      <c r="Q18">
        <v>0.797794</v>
      </c>
    </row>
    <row r="19" spans="1:17" x14ac:dyDescent="0.3">
      <c r="A19" t="s">
        <v>14</v>
      </c>
      <c r="B19">
        <v>13</v>
      </c>
      <c r="C19" s="2">
        <v>401.67563100000001</v>
      </c>
      <c r="D19" s="2">
        <v>401.67563100000001</v>
      </c>
      <c r="M19" t="s">
        <v>182</v>
      </c>
      <c r="N19" t="s">
        <v>195</v>
      </c>
      <c r="O19">
        <v>13</v>
      </c>
      <c r="P19">
        <v>0.84285200000000005</v>
      </c>
      <c r="Q19">
        <v>0.84285200000000005</v>
      </c>
    </row>
    <row r="20" spans="1:17" x14ac:dyDescent="0.3">
      <c r="A20" t="s">
        <v>14</v>
      </c>
      <c r="B20">
        <v>14</v>
      </c>
      <c r="C20" s="2">
        <v>392.223364</v>
      </c>
      <c r="D20" s="2">
        <v>392.223364</v>
      </c>
      <c r="M20" t="s">
        <v>182</v>
      </c>
      <c r="N20" t="s">
        <v>196</v>
      </c>
      <c r="O20">
        <v>14</v>
      </c>
      <c r="P20">
        <v>0.80060100000000001</v>
      </c>
      <c r="Q20">
        <v>0.80060100000000001</v>
      </c>
    </row>
    <row r="21" spans="1:17" x14ac:dyDescent="0.3">
      <c r="A21" t="s">
        <v>14</v>
      </c>
      <c r="B21">
        <v>15</v>
      </c>
      <c r="C21" s="2">
        <v>388.56162699999999</v>
      </c>
      <c r="D21" s="2">
        <v>388.56162699999999</v>
      </c>
      <c r="M21" t="s">
        <v>182</v>
      </c>
      <c r="N21" t="s">
        <v>197</v>
      </c>
      <c r="O21">
        <v>15</v>
      </c>
      <c r="P21">
        <v>0.86614899999999995</v>
      </c>
      <c r="Q21">
        <v>0.86614899999999995</v>
      </c>
    </row>
    <row r="22" spans="1:17" x14ac:dyDescent="0.3">
      <c r="A22" t="s">
        <v>14</v>
      </c>
      <c r="B22">
        <v>16</v>
      </c>
      <c r="C22" s="2">
        <v>401.95864999999998</v>
      </c>
      <c r="D22" s="2">
        <v>401.95864999999998</v>
      </c>
      <c r="M22" t="s">
        <v>182</v>
      </c>
      <c r="N22" t="s">
        <v>198</v>
      </c>
      <c r="O22">
        <v>16</v>
      </c>
      <c r="P22">
        <v>0.78503299999999998</v>
      </c>
      <c r="Q22">
        <v>0.78503299999999998</v>
      </c>
    </row>
    <row r="23" spans="1:17" x14ac:dyDescent="0.3">
      <c r="A23" t="s">
        <v>14</v>
      </c>
      <c r="B23">
        <v>17</v>
      </c>
      <c r="C23" s="2">
        <v>407.03841899999998</v>
      </c>
      <c r="D23" s="2">
        <v>407.03841899999998</v>
      </c>
      <c r="M23" t="s">
        <v>182</v>
      </c>
      <c r="N23" t="s">
        <v>199</v>
      </c>
      <c r="O23">
        <v>17</v>
      </c>
      <c r="P23">
        <v>0.84292800000000001</v>
      </c>
      <c r="Q23">
        <v>0.84292800000000001</v>
      </c>
    </row>
    <row r="24" spans="1:17" x14ac:dyDescent="0.3">
      <c r="A24" t="s">
        <v>14</v>
      </c>
      <c r="B24">
        <v>18</v>
      </c>
      <c r="C24" s="2">
        <v>398.64996100000002</v>
      </c>
      <c r="D24" s="2">
        <v>398.64996100000002</v>
      </c>
      <c r="M24" t="s">
        <v>182</v>
      </c>
      <c r="N24" t="s">
        <v>200</v>
      </c>
      <c r="O24">
        <v>18</v>
      </c>
      <c r="P24">
        <v>0.78250900000000001</v>
      </c>
      <c r="Q24">
        <v>0.78250900000000001</v>
      </c>
    </row>
    <row r="25" spans="1:17" x14ac:dyDescent="0.3">
      <c r="A25" t="s">
        <v>14</v>
      </c>
      <c r="B25">
        <v>19</v>
      </c>
      <c r="C25" s="2">
        <v>401.24717099999998</v>
      </c>
      <c r="D25" s="2">
        <v>401.24717099999998</v>
      </c>
      <c r="M25" t="s">
        <v>182</v>
      </c>
      <c r="N25" t="s">
        <v>201</v>
      </c>
      <c r="O25">
        <v>19</v>
      </c>
      <c r="P25">
        <v>0.86746000000000001</v>
      </c>
      <c r="Q25">
        <v>0.86746000000000001</v>
      </c>
    </row>
    <row r="26" spans="1:17" x14ac:dyDescent="0.3">
      <c r="A26" t="s">
        <v>14</v>
      </c>
      <c r="B26">
        <v>20</v>
      </c>
      <c r="C26" s="2">
        <v>390.47968700000001</v>
      </c>
      <c r="D26" s="2">
        <v>390.47968700000001</v>
      </c>
      <c r="M26" t="s">
        <v>182</v>
      </c>
      <c r="N26" t="s">
        <v>202</v>
      </c>
      <c r="O26">
        <v>20</v>
      </c>
      <c r="P26">
        <v>0.78262799999999999</v>
      </c>
      <c r="Q26">
        <v>0.78262799999999999</v>
      </c>
    </row>
    <row r="27" spans="1:17" x14ac:dyDescent="0.3">
      <c r="A27" t="s">
        <v>14</v>
      </c>
      <c r="B27">
        <v>21</v>
      </c>
      <c r="C27" s="2">
        <v>389.884793</v>
      </c>
      <c r="D27" s="2">
        <v>389.884793</v>
      </c>
      <c r="M27" t="s">
        <v>182</v>
      </c>
      <c r="N27" t="s">
        <v>203</v>
      </c>
      <c r="O27">
        <v>21</v>
      </c>
      <c r="P27">
        <v>0.81432300000000002</v>
      </c>
      <c r="Q27">
        <v>0.81432300000000002</v>
      </c>
    </row>
    <row r="28" spans="1:17" x14ac:dyDescent="0.3">
      <c r="A28" t="s">
        <v>14</v>
      </c>
      <c r="B28">
        <v>22</v>
      </c>
      <c r="C28" s="2">
        <v>408.71801099999999</v>
      </c>
      <c r="D28" s="2">
        <v>408.71801099999999</v>
      </c>
      <c r="M28" t="s">
        <v>182</v>
      </c>
      <c r="N28" t="s">
        <v>204</v>
      </c>
      <c r="O28">
        <v>22</v>
      </c>
      <c r="P28">
        <v>0.80030900000000005</v>
      </c>
      <c r="Q28">
        <v>0.80030900000000005</v>
      </c>
    </row>
    <row r="29" spans="1:17" x14ac:dyDescent="0.3">
      <c r="A29" t="s">
        <v>14</v>
      </c>
      <c r="B29">
        <v>23</v>
      </c>
      <c r="C29" s="2">
        <v>384.86888299999998</v>
      </c>
      <c r="D29" s="2">
        <v>384.86888299999998</v>
      </c>
      <c r="M29" t="s">
        <v>182</v>
      </c>
      <c r="N29" t="s">
        <v>205</v>
      </c>
      <c r="O29">
        <v>23</v>
      </c>
      <c r="P29">
        <v>0.86132200000000003</v>
      </c>
      <c r="Q29">
        <v>0.86132200000000003</v>
      </c>
    </row>
    <row r="30" spans="1:17" x14ac:dyDescent="0.3">
      <c r="A30" t="s">
        <v>14</v>
      </c>
      <c r="B30">
        <v>24</v>
      </c>
      <c r="C30" s="2">
        <v>391.52720799999997</v>
      </c>
      <c r="D30" s="2">
        <v>391.52720799999997</v>
      </c>
      <c r="M30" t="s">
        <v>182</v>
      </c>
      <c r="N30" t="s">
        <v>206</v>
      </c>
      <c r="O30">
        <v>24</v>
      </c>
      <c r="P30">
        <v>0.79533399999999999</v>
      </c>
      <c r="Q30">
        <v>0.79533399999999999</v>
      </c>
    </row>
    <row r="31" spans="1:17" x14ac:dyDescent="0.3">
      <c r="A31" t="s">
        <v>14</v>
      </c>
      <c r="B31">
        <v>25</v>
      </c>
      <c r="C31" s="2">
        <v>397.237234</v>
      </c>
      <c r="D31" s="2">
        <v>397.237234</v>
      </c>
      <c r="M31" t="s">
        <v>182</v>
      </c>
      <c r="N31" t="s">
        <v>207</v>
      </c>
      <c r="O31">
        <v>25</v>
      </c>
      <c r="P31">
        <v>0.86066399999999998</v>
      </c>
      <c r="Q31">
        <v>0.86066399999999998</v>
      </c>
    </row>
    <row r="32" spans="1:17" x14ac:dyDescent="0.3">
      <c r="A32" t="s">
        <v>14</v>
      </c>
      <c r="B32">
        <v>26</v>
      </c>
      <c r="C32" s="2">
        <v>397.24678499999999</v>
      </c>
      <c r="D32" s="2">
        <v>397.24678499999999</v>
      </c>
      <c r="M32" t="s">
        <v>182</v>
      </c>
      <c r="N32" t="s">
        <v>208</v>
      </c>
      <c r="O32">
        <v>26</v>
      </c>
      <c r="P32">
        <v>0.78899300000000006</v>
      </c>
      <c r="Q32">
        <v>0.78899300000000006</v>
      </c>
    </row>
    <row r="33" spans="1:22" x14ac:dyDescent="0.3">
      <c r="A33" t="s">
        <v>14</v>
      </c>
      <c r="B33">
        <v>27</v>
      </c>
      <c r="C33" s="2">
        <v>392.322338</v>
      </c>
      <c r="D33" s="2">
        <v>392.322338</v>
      </c>
      <c r="M33" t="s">
        <v>182</v>
      </c>
      <c r="N33" t="s">
        <v>209</v>
      </c>
      <c r="O33">
        <v>27</v>
      </c>
      <c r="P33">
        <v>0.84556299999999995</v>
      </c>
      <c r="Q33">
        <v>0.84556299999999995</v>
      </c>
    </row>
    <row r="34" spans="1:22" x14ac:dyDescent="0.3">
      <c r="A34" t="s">
        <v>14</v>
      </c>
      <c r="B34">
        <v>28</v>
      </c>
      <c r="C34" s="2">
        <v>410.89047299999999</v>
      </c>
      <c r="D34" s="2">
        <v>410.89047299999999</v>
      </c>
      <c r="M34" t="s">
        <v>182</v>
      </c>
      <c r="N34" t="s">
        <v>210</v>
      </c>
      <c r="O34">
        <v>28</v>
      </c>
      <c r="P34">
        <v>0.78844000000000003</v>
      </c>
      <c r="Q34">
        <v>0.78844000000000003</v>
      </c>
    </row>
    <row r="35" spans="1:22" x14ac:dyDescent="0.3">
      <c r="A35" t="s">
        <v>14</v>
      </c>
      <c r="B35">
        <v>29</v>
      </c>
      <c r="C35" s="2">
        <v>392.15063500000002</v>
      </c>
      <c r="D35" s="2">
        <v>392.15063500000002</v>
      </c>
      <c r="M35" t="s">
        <v>182</v>
      </c>
      <c r="N35" t="s">
        <v>211</v>
      </c>
      <c r="O35">
        <v>29</v>
      </c>
      <c r="P35">
        <v>0.84687800000000002</v>
      </c>
      <c r="Q35">
        <v>0.84687800000000002</v>
      </c>
    </row>
    <row r="36" spans="1:22" x14ac:dyDescent="0.3">
      <c r="A36" t="s">
        <v>14</v>
      </c>
      <c r="B36">
        <v>30</v>
      </c>
      <c r="C36" s="2">
        <v>386.80686600000001</v>
      </c>
      <c r="D36" s="2">
        <v>386.80686600000001</v>
      </c>
      <c r="M36" t="s">
        <v>182</v>
      </c>
      <c r="N36" t="s">
        <v>212</v>
      </c>
      <c r="O36">
        <v>30</v>
      </c>
      <c r="P36">
        <v>0.79430699999999999</v>
      </c>
      <c r="Q36">
        <v>0.79430699999999999</v>
      </c>
    </row>
    <row r="37" spans="1:22" x14ac:dyDescent="0.3">
      <c r="B37" t="s">
        <v>341</v>
      </c>
      <c r="C37" s="5">
        <f>AVERAGE(C7:C36)</f>
        <v>396.89025246666665</v>
      </c>
      <c r="D37" t="s">
        <v>342</v>
      </c>
      <c r="E37" s="1">
        <f>_xlfn.STDEV.S(C7:C36)</f>
        <v>7.0781252922715936</v>
      </c>
      <c r="F37" t="s">
        <v>343</v>
      </c>
      <c r="G37" s="1">
        <f>E37/C37*100</f>
        <v>1.7833961021418785</v>
      </c>
      <c r="H37" t="s">
        <v>344</v>
      </c>
      <c r="I37" s="1">
        <f>_xlfn.T.INV.2T(0.05,29)*E37/SQRT(30)</f>
        <v>2.6430154208769348</v>
      </c>
      <c r="P37">
        <f>AVERAGE(P7:P36)</f>
        <v>0.81688620000000012</v>
      </c>
      <c r="Q37" t="s">
        <v>342</v>
      </c>
      <c r="R37" s="1">
        <f>_xlfn.STDEV.S(P7:P36)</f>
        <v>3.1814700082476513E-2</v>
      </c>
      <c r="S37" t="s">
        <v>343</v>
      </c>
      <c r="T37" s="1">
        <f>R37/P37*100</f>
        <v>3.8946306208228894</v>
      </c>
      <c r="U37" t="s">
        <v>344</v>
      </c>
      <c r="V37" s="1">
        <f>_xlfn.T.INV.2T(0.05,29)*R37/SQRT(30)</f>
        <v>1.1879804249915167E-2</v>
      </c>
    </row>
    <row r="39" spans="1:22" x14ac:dyDescent="0.3">
      <c r="A39" t="s">
        <v>26</v>
      </c>
      <c r="B39" t="s">
        <v>0</v>
      </c>
      <c r="C39" t="s">
        <v>27</v>
      </c>
      <c r="D39" t="s">
        <v>28</v>
      </c>
      <c r="E39" t="s">
        <v>29</v>
      </c>
      <c r="M39" t="s">
        <v>26</v>
      </c>
      <c r="N39" t="s">
        <v>0</v>
      </c>
      <c r="O39" t="s">
        <v>27</v>
      </c>
      <c r="P39" t="s">
        <v>28</v>
      </c>
      <c r="Q39" t="s">
        <v>29</v>
      </c>
    </row>
    <row r="40" spans="1:22" x14ac:dyDescent="0.3">
      <c r="A40" t="s">
        <v>15</v>
      </c>
      <c r="B40" t="s">
        <v>30</v>
      </c>
      <c r="C40">
        <v>1</v>
      </c>
      <c r="D40">
        <v>46.866357999999998</v>
      </c>
      <c r="E40">
        <v>46.866357999999998</v>
      </c>
      <c r="M40" t="s">
        <v>213</v>
      </c>
      <c r="N40" t="s">
        <v>214</v>
      </c>
      <c r="O40">
        <v>1</v>
      </c>
      <c r="P40">
        <v>19.771404</v>
      </c>
      <c r="Q40">
        <v>19.771404</v>
      </c>
    </row>
    <row r="41" spans="1:22" x14ac:dyDescent="0.3">
      <c r="A41" t="s">
        <v>15</v>
      </c>
      <c r="B41" t="s">
        <v>31</v>
      </c>
      <c r="C41">
        <v>2</v>
      </c>
      <c r="D41">
        <v>46.955401999999999</v>
      </c>
      <c r="E41">
        <v>46.955401999999999</v>
      </c>
      <c r="M41" t="s">
        <v>213</v>
      </c>
      <c r="N41" t="s">
        <v>215</v>
      </c>
      <c r="O41">
        <v>2</v>
      </c>
      <c r="P41">
        <v>19.829677</v>
      </c>
      <c r="Q41">
        <v>19.829677</v>
      </c>
    </row>
    <row r="42" spans="1:22" x14ac:dyDescent="0.3">
      <c r="A42" t="s">
        <v>15</v>
      </c>
      <c r="B42" t="s">
        <v>32</v>
      </c>
      <c r="C42">
        <v>3</v>
      </c>
      <c r="D42">
        <v>46.935518999999999</v>
      </c>
      <c r="E42">
        <v>46.935518999999999</v>
      </c>
      <c r="M42" t="s">
        <v>213</v>
      </c>
      <c r="N42" t="s">
        <v>216</v>
      </c>
      <c r="O42">
        <v>3</v>
      </c>
      <c r="P42">
        <v>19.480585000000001</v>
      </c>
      <c r="Q42">
        <v>19.480585000000001</v>
      </c>
    </row>
    <row r="43" spans="1:22" x14ac:dyDescent="0.3">
      <c r="A43" t="s">
        <v>15</v>
      </c>
      <c r="B43" t="s">
        <v>33</v>
      </c>
      <c r="C43">
        <v>4</v>
      </c>
      <c r="D43">
        <v>46.969622000000001</v>
      </c>
      <c r="E43">
        <v>46.969622000000001</v>
      </c>
      <c r="M43" t="s">
        <v>213</v>
      </c>
      <c r="N43" t="s">
        <v>217</v>
      </c>
      <c r="O43">
        <v>4</v>
      </c>
      <c r="P43">
        <v>19.884561000000001</v>
      </c>
      <c r="Q43">
        <v>19.884561000000001</v>
      </c>
    </row>
    <row r="44" spans="1:22" x14ac:dyDescent="0.3">
      <c r="A44" t="s">
        <v>15</v>
      </c>
      <c r="B44" t="s">
        <v>34</v>
      </c>
      <c r="C44">
        <v>5</v>
      </c>
      <c r="D44">
        <v>47.048358</v>
      </c>
      <c r="E44">
        <v>47.048358</v>
      </c>
      <c r="M44" t="s">
        <v>213</v>
      </c>
      <c r="N44" t="s">
        <v>218</v>
      </c>
      <c r="O44">
        <v>5</v>
      </c>
      <c r="P44">
        <v>19.872976000000001</v>
      </c>
      <c r="Q44">
        <v>19.872976000000001</v>
      </c>
    </row>
    <row r="45" spans="1:22" x14ac:dyDescent="0.3">
      <c r="A45" t="s">
        <v>15</v>
      </c>
      <c r="B45" t="s">
        <v>35</v>
      </c>
      <c r="C45">
        <v>6</v>
      </c>
      <c r="D45">
        <v>46.991252000000003</v>
      </c>
      <c r="E45">
        <v>46.991252000000003</v>
      </c>
      <c r="M45" t="s">
        <v>213</v>
      </c>
      <c r="N45" t="s">
        <v>219</v>
      </c>
      <c r="O45">
        <v>6</v>
      </c>
      <c r="P45">
        <v>19.778227000000001</v>
      </c>
      <c r="Q45">
        <v>19.778227000000001</v>
      </c>
    </row>
    <row r="46" spans="1:22" x14ac:dyDescent="0.3">
      <c r="A46" t="s">
        <v>15</v>
      </c>
      <c r="B46" t="s">
        <v>36</v>
      </c>
      <c r="C46">
        <v>7</v>
      </c>
      <c r="D46">
        <v>46.852657999999998</v>
      </c>
      <c r="E46">
        <v>46.852657999999998</v>
      </c>
      <c r="M46" t="s">
        <v>213</v>
      </c>
      <c r="N46" t="s">
        <v>220</v>
      </c>
      <c r="O46">
        <v>7</v>
      </c>
      <c r="P46">
        <v>19.773961</v>
      </c>
      <c r="Q46">
        <v>19.773961</v>
      </c>
    </row>
    <row r="47" spans="1:22" x14ac:dyDescent="0.3">
      <c r="A47" t="s">
        <v>15</v>
      </c>
      <c r="B47" t="s">
        <v>37</v>
      </c>
      <c r="C47">
        <v>8</v>
      </c>
      <c r="D47">
        <v>46.946702000000002</v>
      </c>
      <c r="E47">
        <v>46.946702000000002</v>
      </c>
      <c r="M47" t="s">
        <v>213</v>
      </c>
      <c r="N47" t="s">
        <v>221</v>
      </c>
      <c r="O47">
        <v>8</v>
      </c>
      <c r="P47">
        <v>19.714099999999998</v>
      </c>
      <c r="Q47">
        <v>19.714099999999998</v>
      </c>
    </row>
    <row r="48" spans="1:22" x14ac:dyDescent="0.3">
      <c r="A48" t="s">
        <v>15</v>
      </c>
      <c r="B48" t="s">
        <v>38</v>
      </c>
      <c r="C48">
        <v>9</v>
      </c>
      <c r="D48">
        <v>46.922001999999999</v>
      </c>
      <c r="E48">
        <v>46.922001999999999</v>
      </c>
      <c r="M48" t="s">
        <v>213</v>
      </c>
      <c r="N48" t="s">
        <v>222</v>
      </c>
      <c r="O48">
        <v>9</v>
      </c>
      <c r="P48">
        <v>19.868950000000002</v>
      </c>
      <c r="Q48">
        <v>19.868950000000002</v>
      </c>
    </row>
    <row r="49" spans="1:17" x14ac:dyDescent="0.3">
      <c r="A49" t="s">
        <v>15</v>
      </c>
      <c r="B49" t="s">
        <v>39</v>
      </c>
      <c r="C49">
        <v>10</v>
      </c>
      <c r="D49">
        <v>46.926239000000002</v>
      </c>
      <c r="E49">
        <v>46.926239000000002</v>
      </c>
      <c r="M49" t="s">
        <v>213</v>
      </c>
      <c r="N49" t="s">
        <v>223</v>
      </c>
      <c r="O49">
        <v>10</v>
      </c>
      <c r="P49">
        <v>19.873249999999999</v>
      </c>
      <c r="Q49">
        <v>19.873249999999999</v>
      </c>
    </row>
    <row r="50" spans="1:17" x14ac:dyDescent="0.3">
      <c r="A50" t="s">
        <v>15</v>
      </c>
      <c r="B50" t="s">
        <v>40</v>
      </c>
      <c r="C50">
        <v>11</v>
      </c>
      <c r="D50">
        <v>46.866756000000002</v>
      </c>
      <c r="E50">
        <v>46.866756000000002</v>
      </c>
      <c r="M50" t="s">
        <v>213</v>
      </c>
      <c r="N50" t="s">
        <v>224</v>
      </c>
      <c r="O50">
        <v>11</v>
      </c>
      <c r="P50">
        <v>19.757823999999999</v>
      </c>
      <c r="Q50">
        <v>19.757823999999999</v>
      </c>
    </row>
    <row r="51" spans="1:17" x14ac:dyDescent="0.3">
      <c r="A51" t="s">
        <v>15</v>
      </c>
      <c r="B51" t="s">
        <v>41</v>
      </c>
      <c r="C51">
        <v>12</v>
      </c>
      <c r="D51">
        <v>46.856535000000001</v>
      </c>
      <c r="E51">
        <v>46.856535000000001</v>
      </c>
      <c r="M51" t="s">
        <v>213</v>
      </c>
      <c r="N51" t="s">
        <v>225</v>
      </c>
      <c r="O51">
        <v>12</v>
      </c>
      <c r="P51">
        <v>19.958908999999998</v>
      </c>
      <c r="Q51">
        <v>19.958908999999998</v>
      </c>
    </row>
    <row r="52" spans="1:17" x14ac:dyDescent="0.3">
      <c r="A52" t="s">
        <v>15</v>
      </c>
      <c r="B52" t="s">
        <v>42</v>
      </c>
      <c r="C52">
        <v>13</v>
      </c>
      <c r="D52">
        <v>46.922241</v>
      </c>
      <c r="E52">
        <v>46.922241</v>
      </c>
      <c r="M52" t="s">
        <v>213</v>
      </c>
      <c r="N52" t="s">
        <v>226</v>
      </c>
      <c r="O52">
        <v>13</v>
      </c>
      <c r="P52">
        <v>19.945319000000001</v>
      </c>
      <c r="Q52">
        <v>19.945319000000001</v>
      </c>
    </row>
    <row r="53" spans="1:17" x14ac:dyDescent="0.3">
      <c r="A53" t="s">
        <v>15</v>
      </c>
      <c r="B53" t="s">
        <v>43</v>
      </c>
      <c r="C53">
        <v>14</v>
      </c>
      <c r="D53">
        <v>46.997812000000003</v>
      </c>
      <c r="E53">
        <v>46.997812000000003</v>
      </c>
      <c r="M53" t="s">
        <v>213</v>
      </c>
      <c r="N53" t="s">
        <v>227</v>
      </c>
      <c r="O53">
        <v>14</v>
      </c>
      <c r="P53">
        <v>20.145562000000002</v>
      </c>
      <c r="Q53">
        <v>20.145562000000002</v>
      </c>
    </row>
    <row r="54" spans="1:17" x14ac:dyDescent="0.3">
      <c r="A54" t="s">
        <v>15</v>
      </c>
      <c r="B54" t="s">
        <v>44</v>
      </c>
      <c r="C54">
        <v>15</v>
      </c>
      <c r="D54">
        <v>47.105573</v>
      </c>
      <c r="E54">
        <v>47.105573</v>
      </c>
      <c r="M54" t="s">
        <v>213</v>
      </c>
      <c r="N54" t="s">
        <v>228</v>
      </c>
      <c r="O54">
        <v>15</v>
      </c>
      <c r="P54">
        <v>19.946469</v>
      </c>
      <c r="Q54">
        <v>19.946469</v>
      </c>
    </row>
    <row r="55" spans="1:17" x14ac:dyDescent="0.3">
      <c r="A55" t="s">
        <v>15</v>
      </c>
      <c r="B55" t="s">
        <v>45</v>
      </c>
      <c r="C55">
        <v>16</v>
      </c>
      <c r="D55">
        <v>46.886066999999997</v>
      </c>
      <c r="E55">
        <v>46.886066999999997</v>
      </c>
      <c r="M55" t="s">
        <v>213</v>
      </c>
      <c r="N55" t="s">
        <v>229</v>
      </c>
      <c r="O55">
        <v>16</v>
      </c>
      <c r="P55">
        <v>19.976697000000001</v>
      </c>
      <c r="Q55">
        <v>19.976697000000001</v>
      </c>
    </row>
    <row r="56" spans="1:17" x14ac:dyDescent="0.3">
      <c r="A56" t="s">
        <v>15</v>
      </c>
      <c r="B56" t="s">
        <v>46</v>
      </c>
      <c r="C56">
        <v>17</v>
      </c>
      <c r="D56">
        <v>47.021433999999999</v>
      </c>
      <c r="E56">
        <v>47.021433999999999</v>
      </c>
      <c r="M56" t="s">
        <v>213</v>
      </c>
      <c r="N56" t="s">
        <v>230</v>
      </c>
      <c r="O56">
        <v>17</v>
      </c>
      <c r="P56">
        <v>20.173258000000001</v>
      </c>
      <c r="Q56">
        <v>20.173258000000001</v>
      </c>
    </row>
    <row r="57" spans="1:17" x14ac:dyDescent="0.3">
      <c r="A57" t="s">
        <v>15</v>
      </c>
      <c r="B57" t="s">
        <v>47</v>
      </c>
      <c r="C57">
        <v>18</v>
      </c>
      <c r="D57">
        <v>46.888553999999999</v>
      </c>
      <c r="E57">
        <v>46.888553999999999</v>
      </c>
      <c r="M57" t="s">
        <v>213</v>
      </c>
      <c r="N57" t="s">
        <v>231</v>
      </c>
      <c r="O57">
        <v>18</v>
      </c>
      <c r="P57">
        <v>20.142831999999999</v>
      </c>
      <c r="Q57">
        <v>20.142831999999999</v>
      </c>
    </row>
    <row r="58" spans="1:17" x14ac:dyDescent="0.3">
      <c r="A58" t="s">
        <v>15</v>
      </c>
      <c r="B58" t="s">
        <v>48</v>
      </c>
      <c r="C58">
        <v>19</v>
      </c>
      <c r="D58">
        <v>46.870199</v>
      </c>
      <c r="E58">
        <v>46.870199</v>
      </c>
      <c r="M58" t="s">
        <v>213</v>
      </c>
      <c r="N58" t="s">
        <v>232</v>
      </c>
      <c r="O58">
        <v>19</v>
      </c>
      <c r="P58">
        <v>19.966691999999998</v>
      </c>
      <c r="Q58">
        <v>19.966691999999998</v>
      </c>
    </row>
    <row r="59" spans="1:17" x14ac:dyDescent="0.3">
      <c r="A59" t="s">
        <v>15</v>
      </c>
      <c r="B59" t="s">
        <v>49</v>
      </c>
      <c r="C59">
        <v>20</v>
      </c>
      <c r="D59">
        <v>46.95617</v>
      </c>
      <c r="E59">
        <v>46.95617</v>
      </c>
      <c r="M59" t="s">
        <v>213</v>
      </c>
      <c r="N59" t="s">
        <v>233</v>
      </c>
      <c r="O59">
        <v>20</v>
      </c>
      <c r="P59">
        <v>19.650825000000001</v>
      </c>
      <c r="Q59">
        <v>19.650825000000001</v>
      </c>
    </row>
    <row r="60" spans="1:17" x14ac:dyDescent="0.3">
      <c r="A60" t="s">
        <v>15</v>
      </c>
      <c r="B60" t="s">
        <v>50</v>
      </c>
      <c r="C60">
        <v>21</v>
      </c>
      <c r="D60">
        <v>46.935892000000003</v>
      </c>
      <c r="E60">
        <v>46.935892000000003</v>
      </c>
      <c r="M60" t="s">
        <v>213</v>
      </c>
      <c r="N60" t="s">
        <v>234</v>
      </c>
      <c r="O60">
        <v>21</v>
      </c>
      <c r="P60">
        <v>19.852793999999999</v>
      </c>
      <c r="Q60">
        <v>19.852793999999999</v>
      </c>
    </row>
    <row r="61" spans="1:17" x14ac:dyDescent="0.3">
      <c r="A61" t="s">
        <v>15</v>
      </c>
      <c r="B61" t="s">
        <v>51</v>
      </c>
      <c r="C61">
        <v>22</v>
      </c>
      <c r="D61">
        <v>46.882036999999997</v>
      </c>
      <c r="E61">
        <v>46.882036999999997</v>
      </c>
      <c r="M61" t="s">
        <v>213</v>
      </c>
      <c r="N61" t="s">
        <v>235</v>
      </c>
      <c r="O61">
        <v>22</v>
      </c>
      <c r="P61">
        <v>19.872395999999998</v>
      </c>
      <c r="Q61">
        <v>19.872395999999998</v>
      </c>
    </row>
    <row r="62" spans="1:17" x14ac:dyDescent="0.3">
      <c r="A62" t="s">
        <v>15</v>
      </c>
      <c r="B62" t="s">
        <v>52</v>
      </c>
      <c r="C62">
        <v>23</v>
      </c>
      <c r="D62">
        <v>47.060667000000002</v>
      </c>
      <c r="E62">
        <v>47.060667000000002</v>
      </c>
      <c r="M62" t="s">
        <v>213</v>
      </c>
      <c r="N62" t="s">
        <v>236</v>
      </c>
      <c r="O62">
        <v>23</v>
      </c>
      <c r="P62">
        <v>19.651451000000002</v>
      </c>
      <c r="Q62">
        <v>19.651451000000002</v>
      </c>
    </row>
    <row r="63" spans="1:17" x14ac:dyDescent="0.3">
      <c r="A63" t="s">
        <v>15</v>
      </c>
      <c r="B63" t="s">
        <v>53</v>
      </c>
      <c r="C63">
        <v>24</v>
      </c>
      <c r="D63">
        <v>47.064272000000003</v>
      </c>
      <c r="E63">
        <v>47.064272000000003</v>
      </c>
      <c r="M63" t="s">
        <v>213</v>
      </c>
      <c r="N63" t="s">
        <v>237</v>
      </c>
      <c r="O63">
        <v>24</v>
      </c>
      <c r="P63">
        <v>19.735583999999999</v>
      </c>
      <c r="Q63">
        <v>19.735583999999999</v>
      </c>
    </row>
    <row r="64" spans="1:17" x14ac:dyDescent="0.3">
      <c r="A64" t="s">
        <v>15</v>
      </c>
      <c r="B64" t="s">
        <v>54</v>
      </c>
      <c r="C64">
        <v>25</v>
      </c>
      <c r="D64">
        <v>47.136422000000003</v>
      </c>
      <c r="E64">
        <v>47.136422000000003</v>
      </c>
      <c r="M64" t="s">
        <v>213</v>
      </c>
      <c r="N64" t="s">
        <v>238</v>
      </c>
      <c r="O64">
        <v>25</v>
      </c>
      <c r="P64">
        <v>19.888466000000001</v>
      </c>
      <c r="Q64">
        <v>19.888466000000001</v>
      </c>
    </row>
    <row r="65" spans="1:22" x14ac:dyDescent="0.3">
      <c r="A65" t="s">
        <v>15</v>
      </c>
      <c r="B65" t="s">
        <v>55</v>
      </c>
      <c r="C65">
        <v>26</v>
      </c>
      <c r="D65">
        <v>47.021582000000002</v>
      </c>
      <c r="E65">
        <v>47.021582000000002</v>
      </c>
      <c r="M65" t="s">
        <v>213</v>
      </c>
      <c r="N65" t="s">
        <v>239</v>
      </c>
      <c r="O65">
        <v>26</v>
      </c>
      <c r="P65">
        <v>20.197585</v>
      </c>
      <c r="Q65">
        <v>20.197585</v>
      </c>
    </row>
    <row r="66" spans="1:22" x14ac:dyDescent="0.3">
      <c r="A66" t="s">
        <v>15</v>
      </c>
      <c r="B66" t="s">
        <v>56</v>
      </c>
      <c r="C66">
        <v>27</v>
      </c>
      <c r="D66">
        <v>46.858933</v>
      </c>
      <c r="E66">
        <v>46.858933</v>
      </c>
      <c r="M66" t="s">
        <v>213</v>
      </c>
      <c r="N66" t="s">
        <v>240</v>
      </c>
      <c r="O66">
        <v>27</v>
      </c>
      <c r="P66">
        <v>19.9986</v>
      </c>
      <c r="Q66">
        <v>19.9986</v>
      </c>
    </row>
    <row r="67" spans="1:22" x14ac:dyDescent="0.3">
      <c r="A67" t="s">
        <v>15</v>
      </c>
      <c r="B67" t="s">
        <v>57</v>
      </c>
      <c r="C67">
        <v>28</v>
      </c>
      <c r="D67">
        <v>47.044877999999997</v>
      </c>
      <c r="E67">
        <v>47.044877999999997</v>
      </c>
      <c r="M67" t="s">
        <v>213</v>
      </c>
      <c r="N67" t="s">
        <v>241</v>
      </c>
      <c r="O67">
        <v>28</v>
      </c>
      <c r="P67">
        <v>19.99213</v>
      </c>
      <c r="Q67">
        <v>19.99213</v>
      </c>
    </row>
    <row r="68" spans="1:22" x14ac:dyDescent="0.3">
      <c r="A68" t="s">
        <v>15</v>
      </c>
      <c r="B68" t="s">
        <v>58</v>
      </c>
      <c r="C68">
        <v>29</v>
      </c>
      <c r="D68">
        <v>47.239362</v>
      </c>
      <c r="E68">
        <v>47.239362</v>
      </c>
      <c r="M68" t="s">
        <v>213</v>
      </c>
      <c r="N68" t="s">
        <v>242</v>
      </c>
      <c r="O68">
        <v>29</v>
      </c>
      <c r="P68">
        <v>19.965297</v>
      </c>
      <c r="Q68">
        <v>19.965297</v>
      </c>
    </row>
    <row r="69" spans="1:22" x14ac:dyDescent="0.3">
      <c r="A69" t="s">
        <v>15</v>
      </c>
      <c r="B69" t="s">
        <v>59</v>
      </c>
      <c r="C69">
        <v>30</v>
      </c>
      <c r="D69">
        <v>46.919885999999998</v>
      </c>
      <c r="E69">
        <v>46.919885999999998</v>
      </c>
      <c r="M69" t="s">
        <v>213</v>
      </c>
      <c r="N69" t="s">
        <v>243</v>
      </c>
      <c r="O69">
        <v>30</v>
      </c>
      <c r="P69">
        <v>19.704349000000001</v>
      </c>
      <c r="Q69">
        <v>19.704349000000001</v>
      </c>
    </row>
    <row r="70" spans="1:22" x14ac:dyDescent="0.3">
      <c r="C70" t="s">
        <v>341</v>
      </c>
      <c r="D70" s="1">
        <f>AVERAGE(D40:D69)</f>
        <v>46.964979466666669</v>
      </c>
      <c r="E70" t="s">
        <v>342</v>
      </c>
      <c r="F70" s="1">
        <f>_xlfn.STDEV.S(D40:D69)</f>
        <v>9.4198757922382664E-2</v>
      </c>
      <c r="G70" t="s">
        <v>343</v>
      </c>
      <c r="H70" s="1">
        <f>F70/D70*100</f>
        <v>0.20057233920274595</v>
      </c>
      <c r="I70" t="s">
        <v>344</v>
      </c>
      <c r="J70" s="1">
        <f>_xlfn.T.INV.2T(0.05,29)*F70/SQRT(30)</f>
        <v>3.5174394283208399E-2</v>
      </c>
      <c r="P70">
        <f>AVERAGE(P40:P69)</f>
        <v>19.87902433333333</v>
      </c>
      <c r="Q70" t="s">
        <v>342</v>
      </c>
      <c r="R70" s="1">
        <f>_xlfn.STDEV.S(P40:P69)</f>
        <v>0.16479974935772132</v>
      </c>
      <c r="S70" t="s">
        <v>343</v>
      </c>
      <c r="T70" s="1">
        <f>R70/P70*100</f>
        <v>0.82901326842979706</v>
      </c>
      <c r="U70" t="s">
        <v>344</v>
      </c>
      <c r="V70" s="1">
        <f>_xlfn.T.INV.2T(0.05,29)*R70/SQRT(30)</f>
        <v>6.1537237746369933E-2</v>
      </c>
    </row>
    <row r="73" spans="1:22" x14ac:dyDescent="0.3">
      <c r="A73" t="s">
        <v>26</v>
      </c>
      <c r="B73" t="s">
        <v>0</v>
      </c>
      <c r="C73" t="s">
        <v>27</v>
      </c>
      <c r="D73" t="s">
        <v>28</v>
      </c>
      <c r="E73" t="s">
        <v>29</v>
      </c>
      <c r="M73" t="s">
        <v>26</v>
      </c>
      <c r="N73" t="s">
        <v>0</v>
      </c>
      <c r="O73" t="s">
        <v>27</v>
      </c>
      <c r="P73" t="s">
        <v>28</v>
      </c>
      <c r="Q73" t="s">
        <v>29</v>
      </c>
    </row>
    <row r="74" spans="1:22" x14ac:dyDescent="0.3">
      <c r="A74" t="s">
        <v>16</v>
      </c>
      <c r="B74" t="s">
        <v>60</v>
      </c>
      <c r="C74">
        <v>1</v>
      </c>
      <c r="D74">
        <v>0.13897100000000001</v>
      </c>
      <c r="E74">
        <v>0.13897100000000001</v>
      </c>
      <c r="M74" t="s">
        <v>244</v>
      </c>
      <c r="N74" t="s">
        <v>245</v>
      </c>
      <c r="O74">
        <v>1</v>
      </c>
      <c r="P74">
        <v>1.3860779999999999</v>
      </c>
      <c r="Q74">
        <v>1.3860779999999999</v>
      </c>
    </row>
    <row r="75" spans="1:22" x14ac:dyDescent="0.3">
      <c r="A75" t="s">
        <v>16</v>
      </c>
      <c r="B75" t="s">
        <v>61</v>
      </c>
      <c r="C75">
        <v>2</v>
      </c>
      <c r="D75">
        <v>0.136797</v>
      </c>
      <c r="E75">
        <v>0.136797</v>
      </c>
      <c r="M75" t="s">
        <v>244</v>
      </c>
      <c r="N75" t="s">
        <v>246</v>
      </c>
      <c r="O75">
        <v>2</v>
      </c>
      <c r="P75">
        <v>1.4210100000000001</v>
      </c>
      <c r="Q75">
        <v>1.4210100000000001</v>
      </c>
    </row>
    <row r="76" spans="1:22" x14ac:dyDescent="0.3">
      <c r="A76" t="s">
        <v>16</v>
      </c>
      <c r="B76" t="s">
        <v>62</v>
      </c>
      <c r="C76">
        <v>3</v>
      </c>
      <c r="D76">
        <v>0.13735900000000001</v>
      </c>
      <c r="E76">
        <v>0.13735900000000001</v>
      </c>
      <c r="M76" t="s">
        <v>244</v>
      </c>
      <c r="N76" t="s">
        <v>247</v>
      </c>
      <c r="O76">
        <v>3</v>
      </c>
      <c r="P76">
        <v>1.3711979999999999</v>
      </c>
      <c r="Q76">
        <v>1.3711979999999999</v>
      </c>
    </row>
    <row r="77" spans="1:22" x14ac:dyDescent="0.3">
      <c r="A77" t="s">
        <v>16</v>
      </c>
      <c r="B77" t="s">
        <v>63</v>
      </c>
      <c r="C77">
        <v>4</v>
      </c>
      <c r="D77">
        <v>0.13738400000000001</v>
      </c>
      <c r="E77">
        <v>0.13738400000000001</v>
      </c>
      <c r="M77" t="s">
        <v>244</v>
      </c>
      <c r="N77" t="s">
        <v>248</v>
      </c>
      <c r="O77">
        <v>4</v>
      </c>
      <c r="P77">
        <v>1.4178440000000001</v>
      </c>
      <c r="Q77">
        <v>1.4178440000000001</v>
      </c>
    </row>
    <row r="78" spans="1:22" x14ac:dyDescent="0.3">
      <c r="A78" t="s">
        <v>16</v>
      </c>
      <c r="B78" t="s">
        <v>64</v>
      </c>
      <c r="C78">
        <v>5</v>
      </c>
      <c r="D78">
        <v>0.13692399999999999</v>
      </c>
      <c r="E78">
        <v>0.13692399999999999</v>
      </c>
      <c r="M78" t="s">
        <v>244</v>
      </c>
      <c r="N78" t="s">
        <v>249</v>
      </c>
      <c r="O78">
        <v>5</v>
      </c>
      <c r="P78">
        <v>1.3959710000000001</v>
      </c>
      <c r="Q78">
        <v>1.3959710000000001</v>
      </c>
    </row>
    <row r="79" spans="1:22" x14ac:dyDescent="0.3">
      <c r="A79" t="s">
        <v>16</v>
      </c>
      <c r="B79" t="s">
        <v>65</v>
      </c>
      <c r="C79">
        <v>6</v>
      </c>
      <c r="D79">
        <v>0.13720099999999999</v>
      </c>
      <c r="E79">
        <v>0.13720099999999999</v>
      </c>
      <c r="M79" t="s">
        <v>244</v>
      </c>
      <c r="N79" t="s">
        <v>250</v>
      </c>
      <c r="O79">
        <v>6</v>
      </c>
      <c r="P79">
        <v>1.379157</v>
      </c>
      <c r="Q79">
        <v>1.379157</v>
      </c>
    </row>
    <row r="80" spans="1:22" x14ac:dyDescent="0.3">
      <c r="A80" t="s">
        <v>16</v>
      </c>
      <c r="B80" t="s">
        <v>66</v>
      </c>
      <c r="C80">
        <v>7</v>
      </c>
      <c r="D80">
        <v>0.137853</v>
      </c>
      <c r="E80">
        <v>0.137853</v>
      </c>
      <c r="M80" t="s">
        <v>244</v>
      </c>
      <c r="N80" t="s">
        <v>251</v>
      </c>
      <c r="O80">
        <v>7</v>
      </c>
      <c r="P80">
        <v>1.3907860000000001</v>
      </c>
      <c r="Q80">
        <v>1.3907860000000001</v>
      </c>
    </row>
    <row r="81" spans="1:17" x14ac:dyDescent="0.3">
      <c r="A81" t="s">
        <v>16</v>
      </c>
      <c r="B81" t="s">
        <v>67</v>
      </c>
      <c r="C81">
        <v>8</v>
      </c>
      <c r="D81">
        <v>0.13732900000000001</v>
      </c>
      <c r="E81">
        <v>0.13732900000000001</v>
      </c>
      <c r="M81" t="s">
        <v>244</v>
      </c>
      <c r="N81" t="s">
        <v>252</v>
      </c>
      <c r="O81">
        <v>8</v>
      </c>
      <c r="P81">
        <v>1.350096</v>
      </c>
      <c r="Q81">
        <v>1.350096</v>
      </c>
    </row>
    <row r="82" spans="1:17" x14ac:dyDescent="0.3">
      <c r="A82" t="s">
        <v>16</v>
      </c>
      <c r="B82" t="s">
        <v>68</v>
      </c>
      <c r="C82">
        <v>9</v>
      </c>
      <c r="D82">
        <v>0.13688500000000001</v>
      </c>
      <c r="E82">
        <v>0.13688500000000001</v>
      </c>
      <c r="M82" t="s">
        <v>244</v>
      </c>
      <c r="N82" t="s">
        <v>253</v>
      </c>
      <c r="O82">
        <v>9</v>
      </c>
      <c r="P82">
        <v>1.3847149999999999</v>
      </c>
      <c r="Q82">
        <v>1.3847149999999999</v>
      </c>
    </row>
    <row r="83" spans="1:17" x14ac:dyDescent="0.3">
      <c r="A83" t="s">
        <v>16</v>
      </c>
      <c r="B83" t="s">
        <v>69</v>
      </c>
      <c r="C83">
        <v>10</v>
      </c>
      <c r="D83">
        <v>0.13677300000000001</v>
      </c>
      <c r="E83">
        <v>0.13677300000000001</v>
      </c>
      <c r="M83" t="s">
        <v>244</v>
      </c>
      <c r="N83" t="s">
        <v>254</v>
      </c>
      <c r="O83">
        <v>10</v>
      </c>
      <c r="P83">
        <v>1.3801859999999999</v>
      </c>
      <c r="Q83">
        <v>1.3801859999999999</v>
      </c>
    </row>
    <row r="84" spans="1:17" x14ac:dyDescent="0.3">
      <c r="A84" t="s">
        <v>16</v>
      </c>
      <c r="B84" t="s">
        <v>70</v>
      </c>
      <c r="C84">
        <v>11</v>
      </c>
      <c r="D84">
        <v>0.13735800000000001</v>
      </c>
      <c r="E84">
        <v>0.13735800000000001</v>
      </c>
      <c r="M84" t="s">
        <v>244</v>
      </c>
      <c r="N84" t="s">
        <v>255</v>
      </c>
      <c r="O84">
        <v>11</v>
      </c>
      <c r="P84">
        <v>1.351898</v>
      </c>
      <c r="Q84">
        <v>1.351898</v>
      </c>
    </row>
    <row r="85" spans="1:17" x14ac:dyDescent="0.3">
      <c r="A85" t="s">
        <v>16</v>
      </c>
      <c r="B85" t="s">
        <v>71</v>
      </c>
      <c r="C85">
        <v>12</v>
      </c>
      <c r="D85">
        <v>0.13689799999999999</v>
      </c>
      <c r="E85">
        <v>0.13689799999999999</v>
      </c>
      <c r="M85" t="s">
        <v>244</v>
      </c>
      <c r="N85" t="s">
        <v>256</v>
      </c>
      <c r="O85">
        <v>12</v>
      </c>
      <c r="P85">
        <v>1.4223889999999999</v>
      </c>
      <c r="Q85">
        <v>1.4223889999999999</v>
      </c>
    </row>
    <row r="86" spans="1:17" x14ac:dyDescent="0.3">
      <c r="A86" t="s">
        <v>16</v>
      </c>
      <c r="B86" t="s">
        <v>72</v>
      </c>
      <c r="C86">
        <v>13</v>
      </c>
      <c r="D86">
        <v>0.13663900000000001</v>
      </c>
      <c r="E86">
        <v>0.13663900000000001</v>
      </c>
      <c r="M86" t="s">
        <v>244</v>
      </c>
      <c r="N86" t="s">
        <v>257</v>
      </c>
      <c r="O86">
        <v>13</v>
      </c>
      <c r="P86">
        <v>1.3928659999999999</v>
      </c>
      <c r="Q86">
        <v>1.3928659999999999</v>
      </c>
    </row>
    <row r="87" spans="1:17" x14ac:dyDescent="0.3">
      <c r="A87" t="s">
        <v>16</v>
      </c>
      <c r="B87" t="s">
        <v>73</v>
      </c>
      <c r="C87">
        <v>14</v>
      </c>
      <c r="D87">
        <v>0.13694000000000001</v>
      </c>
      <c r="E87">
        <v>0.13694000000000001</v>
      </c>
      <c r="M87" t="s">
        <v>244</v>
      </c>
      <c r="N87" t="s">
        <v>258</v>
      </c>
      <c r="O87">
        <v>14</v>
      </c>
      <c r="P87">
        <v>1.448995</v>
      </c>
      <c r="Q87">
        <v>1.448995</v>
      </c>
    </row>
    <row r="88" spans="1:17" x14ac:dyDescent="0.3">
      <c r="A88" t="s">
        <v>16</v>
      </c>
      <c r="B88" t="s">
        <v>74</v>
      </c>
      <c r="C88">
        <v>15</v>
      </c>
      <c r="D88">
        <v>0.13703499999999999</v>
      </c>
      <c r="E88">
        <v>0.13703499999999999</v>
      </c>
      <c r="M88" t="s">
        <v>244</v>
      </c>
      <c r="N88" t="s">
        <v>259</v>
      </c>
      <c r="O88">
        <v>15</v>
      </c>
      <c r="P88">
        <v>1.3594470000000001</v>
      </c>
      <c r="Q88">
        <v>1.3594470000000001</v>
      </c>
    </row>
    <row r="89" spans="1:17" x14ac:dyDescent="0.3">
      <c r="A89" t="s">
        <v>16</v>
      </c>
      <c r="B89" t="s">
        <v>75</v>
      </c>
      <c r="C89">
        <v>16</v>
      </c>
      <c r="D89">
        <v>0.13714399999999999</v>
      </c>
      <c r="E89">
        <v>0.13714399999999999</v>
      </c>
      <c r="M89" t="s">
        <v>244</v>
      </c>
      <c r="N89" t="s">
        <v>260</v>
      </c>
      <c r="O89">
        <v>16</v>
      </c>
      <c r="P89">
        <v>1.4169400000000001</v>
      </c>
      <c r="Q89">
        <v>1.4169400000000001</v>
      </c>
    </row>
    <row r="90" spans="1:17" x14ac:dyDescent="0.3">
      <c r="A90" t="s">
        <v>16</v>
      </c>
      <c r="B90" t="s">
        <v>76</v>
      </c>
      <c r="C90">
        <v>17</v>
      </c>
      <c r="D90">
        <v>0.13686400000000001</v>
      </c>
      <c r="E90">
        <v>0.13686400000000001</v>
      </c>
      <c r="M90" t="s">
        <v>244</v>
      </c>
      <c r="N90" t="s">
        <v>261</v>
      </c>
      <c r="O90">
        <v>17</v>
      </c>
      <c r="P90">
        <v>1.3606609999999999</v>
      </c>
      <c r="Q90">
        <v>1.3606609999999999</v>
      </c>
    </row>
    <row r="91" spans="1:17" x14ac:dyDescent="0.3">
      <c r="A91" t="s">
        <v>16</v>
      </c>
      <c r="B91" t="s">
        <v>77</v>
      </c>
      <c r="C91">
        <v>18</v>
      </c>
      <c r="D91">
        <v>0.137521</v>
      </c>
      <c r="E91">
        <v>0.137521</v>
      </c>
      <c r="M91" t="s">
        <v>244</v>
      </c>
      <c r="N91" t="s">
        <v>262</v>
      </c>
      <c r="O91">
        <v>18</v>
      </c>
      <c r="P91">
        <v>1.3295779999999999</v>
      </c>
      <c r="Q91">
        <v>1.3295779999999999</v>
      </c>
    </row>
    <row r="92" spans="1:17" x14ac:dyDescent="0.3">
      <c r="A92" t="s">
        <v>16</v>
      </c>
      <c r="B92" t="s">
        <v>78</v>
      </c>
      <c r="C92">
        <v>19</v>
      </c>
      <c r="D92">
        <v>0.137546</v>
      </c>
      <c r="E92">
        <v>0.137546</v>
      </c>
      <c r="M92" t="s">
        <v>244</v>
      </c>
      <c r="N92" t="s">
        <v>263</v>
      </c>
      <c r="O92">
        <v>19</v>
      </c>
      <c r="P92">
        <v>1.447926</v>
      </c>
      <c r="Q92">
        <v>1.447926</v>
      </c>
    </row>
    <row r="93" spans="1:17" x14ac:dyDescent="0.3">
      <c r="A93" t="s">
        <v>16</v>
      </c>
      <c r="B93" t="s">
        <v>79</v>
      </c>
      <c r="C93">
        <v>20</v>
      </c>
      <c r="D93">
        <v>0.13867499999999999</v>
      </c>
      <c r="E93">
        <v>0.13867499999999999</v>
      </c>
      <c r="M93" t="s">
        <v>244</v>
      </c>
      <c r="N93" t="s">
        <v>264</v>
      </c>
      <c r="O93">
        <v>20</v>
      </c>
      <c r="P93">
        <v>1.363391</v>
      </c>
      <c r="Q93">
        <v>1.363391</v>
      </c>
    </row>
    <row r="94" spans="1:17" x14ac:dyDescent="0.3">
      <c r="A94" t="s">
        <v>16</v>
      </c>
      <c r="B94" t="s">
        <v>80</v>
      </c>
      <c r="C94">
        <v>21</v>
      </c>
      <c r="D94">
        <v>0.137042</v>
      </c>
      <c r="E94">
        <v>0.137042</v>
      </c>
      <c r="M94" t="s">
        <v>244</v>
      </c>
      <c r="N94" t="s">
        <v>265</v>
      </c>
      <c r="O94">
        <v>21</v>
      </c>
      <c r="P94">
        <v>1.3694040000000001</v>
      </c>
      <c r="Q94">
        <v>1.3694040000000001</v>
      </c>
    </row>
    <row r="95" spans="1:17" x14ac:dyDescent="0.3">
      <c r="A95" t="s">
        <v>16</v>
      </c>
      <c r="B95" t="s">
        <v>81</v>
      </c>
      <c r="C95">
        <v>22</v>
      </c>
      <c r="D95">
        <v>0.13727900000000001</v>
      </c>
      <c r="E95">
        <v>0.13727900000000001</v>
      </c>
      <c r="M95" t="s">
        <v>244</v>
      </c>
      <c r="N95" t="s">
        <v>266</v>
      </c>
      <c r="O95">
        <v>22</v>
      </c>
      <c r="P95">
        <v>1.4012519999999999</v>
      </c>
      <c r="Q95">
        <v>1.4012519999999999</v>
      </c>
    </row>
    <row r="96" spans="1:17" x14ac:dyDescent="0.3">
      <c r="A96" t="s">
        <v>16</v>
      </c>
      <c r="B96" t="s">
        <v>82</v>
      </c>
      <c r="C96">
        <v>23</v>
      </c>
      <c r="D96">
        <v>0.137714</v>
      </c>
      <c r="E96">
        <v>0.137714</v>
      </c>
      <c r="M96" t="s">
        <v>244</v>
      </c>
      <c r="N96" t="s">
        <v>267</v>
      </c>
      <c r="O96">
        <v>23</v>
      </c>
      <c r="P96">
        <v>1.3601970000000001</v>
      </c>
      <c r="Q96">
        <v>1.3601970000000001</v>
      </c>
    </row>
    <row r="97" spans="1:22" x14ac:dyDescent="0.3">
      <c r="A97" t="s">
        <v>16</v>
      </c>
      <c r="B97" t="s">
        <v>83</v>
      </c>
      <c r="C97">
        <v>24</v>
      </c>
      <c r="D97">
        <v>0.13788600000000001</v>
      </c>
      <c r="E97">
        <v>0.13788600000000001</v>
      </c>
      <c r="M97" t="s">
        <v>244</v>
      </c>
      <c r="N97" t="s">
        <v>268</v>
      </c>
      <c r="O97">
        <v>24</v>
      </c>
      <c r="P97">
        <v>1.427713</v>
      </c>
      <c r="Q97">
        <v>1.427713</v>
      </c>
    </row>
    <row r="98" spans="1:22" x14ac:dyDescent="0.3">
      <c r="A98" t="s">
        <v>16</v>
      </c>
      <c r="B98" t="s">
        <v>84</v>
      </c>
      <c r="C98">
        <v>25</v>
      </c>
      <c r="D98">
        <v>0.13738600000000001</v>
      </c>
      <c r="E98">
        <v>0.13738600000000001</v>
      </c>
      <c r="M98" t="s">
        <v>244</v>
      </c>
      <c r="N98" t="s">
        <v>269</v>
      </c>
      <c r="O98">
        <v>25</v>
      </c>
      <c r="P98">
        <v>1.3677870000000001</v>
      </c>
      <c r="Q98">
        <v>1.3677870000000001</v>
      </c>
    </row>
    <row r="99" spans="1:22" x14ac:dyDescent="0.3">
      <c r="A99" t="s">
        <v>16</v>
      </c>
      <c r="B99" t="s">
        <v>85</v>
      </c>
      <c r="C99">
        <v>26</v>
      </c>
      <c r="D99">
        <v>0.13716700000000001</v>
      </c>
      <c r="E99">
        <v>0.13716700000000001</v>
      </c>
      <c r="M99" t="s">
        <v>244</v>
      </c>
      <c r="N99" t="s">
        <v>270</v>
      </c>
      <c r="O99">
        <v>26</v>
      </c>
      <c r="P99">
        <v>1.421605</v>
      </c>
      <c r="Q99">
        <v>1.421605</v>
      </c>
    </row>
    <row r="100" spans="1:22" x14ac:dyDescent="0.3">
      <c r="A100" t="s">
        <v>16</v>
      </c>
      <c r="B100" t="s">
        <v>86</v>
      </c>
      <c r="C100">
        <v>27</v>
      </c>
      <c r="D100">
        <v>0.138069</v>
      </c>
      <c r="E100">
        <v>0.138069</v>
      </c>
      <c r="M100" t="s">
        <v>244</v>
      </c>
      <c r="N100" t="s">
        <v>271</v>
      </c>
      <c r="O100">
        <v>27</v>
      </c>
      <c r="P100">
        <v>1.3751249999999999</v>
      </c>
      <c r="Q100">
        <v>1.3751249999999999</v>
      </c>
    </row>
    <row r="101" spans="1:22" x14ac:dyDescent="0.3">
      <c r="A101" t="s">
        <v>16</v>
      </c>
      <c r="B101" t="s">
        <v>87</v>
      </c>
      <c r="C101">
        <v>28</v>
      </c>
      <c r="D101">
        <v>0.13710900000000001</v>
      </c>
      <c r="E101">
        <v>0.13710900000000001</v>
      </c>
      <c r="M101" t="s">
        <v>244</v>
      </c>
      <c r="N101" t="s">
        <v>272</v>
      </c>
      <c r="O101">
        <v>28</v>
      </c>
      <c r="P101">
        <v>1.4003950000000001</v>
      </c>
      <c r="Q101">
        <v>1.4003950000000001</v>
      </c>
    </row>
    <row r="102" spans="1:22" x14ac:dyDescent="0.3">
      <c r="A102" t="s">
        <v>16</v>
      </c>
      <c r="B102" t="s">
        <v>88</v>
      </c>
      <c r="C102">
        <v>29</v>
      </c>
      <c r="D102">
        <v>0.13721700000000001</v>
      </c>
      <c r="E102">
        <v>0.13721700000000001</v>
      </c>
      <c r="M102" t="s">
        <v>244</v>
      </c>
      <c r="N102" t="s">
        <v>273</v>
      </c>
      <c r="O102">
        <v>29</v>
      </c>
      <c r="P102">
        <v>1.391664</v>
      </c>
      <c r="Q102">
        <v>1.391664</v>
      </c>
    </row>
    <row r="103" spans="1:22" x14ac:dyDescent="0.3">
      <c r="A103" t="s">
        <v>16</v>
      </c>
      <c r="B103" t="s">
        <v>89</v>
      </c>
      <c r="C103">
        <v>30</v>
      </c>
      <c r="D103">
        <v>0.13666700000000001</v>
      </c>
      <c r="E103">
        <v>0.13666700000000001</v>
      </c>
      <c r="M103" t="s">
        <v>244</v>
      </c>
      <c r="N103" t="s">
        <v>274</v>
      </c>
      <c r="O103">
        <v>30</v>
      </c>
      <c r="P103">
        <v>1.363286</v>
      </c>
      <c r="Q103">
        <v>1.363286</v>
      </c>
    </row>
    <row r="104" spans="1:22" x14ac:dyDescent="0.3">
      <c r="D104">
        <f>AVERAGE(D74:D103)</f>
        <v>0.13732106666666669</v>
      </c>
      <c r="E104" t="s">
        <v>342</v>
      </c>
      <c r="F104" s="1">
        <f>_xlfn.STDEV.S(D74:D103)</f>
        <v>5.4484049759181052E-4</v>
      </c>
      <c r="G104" t="s">
        <v>343</v>
      </c>
      <c r="H104" s="1">
        <f>F104/D104*100</f>
        <v>0.39676395677464188</v>
      </c>
      <c r="I104" t="s">
        <v>344</v>
      </c>
      <c r="J104" s="1">
        <f>_xlfn.T.INV.2T(0.05,29)*F104/SQRT(30)</f>
        <v>2.0344678535511897E-4</v>
      </c>
      <c r="P104">
        <f>AVERAGE(P74:P103)</f>
        <v>1.3883186666666667</v>
      </c>
      <c r="Q104" t="s">
        <v>342</v>
      </c>
      <c r="R104" s="1">
        <f>_xlfn.STDEV.S(P74:P103)</f>
        <v>2.9661578366557018E-2</v>
      </c>
      <c r="S104" t="s">
        <v>343</v>
      </c>
      <c r="T104" s="1">
        <f>R104/P104*100</f>
        <v>2.1365108082695485</v>
      </c>
      <c r="U104" t="s">
        <v>344</v>
      </c>
      <c r="V104" s="1">
        <f>_xlfn.T.INV.2T(0.05,29)*R104/SQRT(30)</f>
        <v>1.1075815388003698E-2</v>
      </c>
    </row>
    <row r="107" spans="1:22" x14ac:dyDescent="0.3">
      <c r="A107" t="s">
        <v>26</v>
      </c>
      <c r="B107" t="s">
        <v>0</v>
      </c>
      <c r="C107" t="s">
        <v>27</v>
      </c>
      <c r="D107" t="s">
        <v>28</v>
      </c>
      <c r="E107" t="s">
        <v>29</v>
      </c>
      <c r="M107" t="s">
        <v>26</v>
      </c>
      <c r="N107" t="s">
        <v>0</v>
      </c>
      <c r="O107" t="s">
        <v>27</v>
      </c>
      <c r="P107" t="s">
        <v>28</v>
      </c>
      <c r="Q107" t="s">
        <v>29</v>
      </c>
    </row>
    <row r="108" spans="1:22" x14ac:dyDescent="0.3">
      <c r="A108" t="s">
        <v>17</v>
      </c>
      <c r="B108" t="s">
        <v>90</v>
      </c>
      <c r="C108">
        <v>1</v>
      </c>
      <c r="D108">
        <v>0.13167699999999999</v>
      </c>
      <c r="E108">
        <v>0.13167699999999999</v>
      </c>
      <c r="M108" t="s">
        <v>275</v>
      </c>
      <c r="N108" t="s">
        <v>276</v>
      </c>
      <c r="O108">
        <v>1</v>
      </c>
      <c r="P108">
        <v>2.418901</v>
      </c>
      <c r="Q108">
        <v>2.418901</v>
      </c>
    </row>
    <row r="109" spans="1:22" x14ac:dyDescent="0.3">
      <c r="A109" t="s">
        <v>17</v>
      </c>
      <c r="B109" t="s">
        <v>91</v>
      </c>
      <c r="C109">
        <v>2</v>
      </c>
      <c r="D109">
        <v>0.1318</v>
      </c>
      <c r="E109">
        <v>0.1318</v>
      </c>
      <c r="M109" t="s">
        <v>275</v>
      </c>
      <c r="N109" t="s">
        <v>277</v>
      </c>
      <c r="O109">
        <v>2</v>
      </c>
      <c r="P109">
        <v>2.373942</v>
      </c>
      <c r="Q109">
        <v>2.373942</v>
      </c>
    </row>
    <row r="110" spans="1:22" x14ac:dyDescent="0.3">
      <c r="A110" t="s">
        <v>17</v>
      </c>
      <c r="B110" t="s">
        <v>92</v>
      </c>
      <c r="C110">
        <v>3</v>
      </c>
      <c r="D110">
        <v>0.13200200000000001</v>
      </c>
      <c r="E110">
        <v>0.13200200000000001</v>
      </c>
      <c r="M110" t="s">
        <v>275</v>
      </c>
      <c r="N110" t="s">
        <v>278</v>
      </c>
      <c r="O110">
        <v>3</v>
      </c>
      <c r="P110">
        <v>2.3830450000000001</v>
      </c>
      <c r="Q110">
        <v>2.3830450000000001</v>
      </c>
    </row>
    <row r="111" spans="1:22" x14ac:dyDescent="0.3">
      <c r="A111" t="s">
        <v>17</v>
      </c>
      <c r="B111" t="s">
        <v>93</v>
      </c>
      <c r="C111">
        <v>4</v>
      </c>
      <c r="D111">
        <v>0.13272200000000001</v>
      </c>
      <c r="E111">
        <v>0.13272200000000001</v>
      </c>
      <c r="M111" t="s">
        <v>275</v>
      </c>
      <c r="N111" t="s">
        <v>279</v>
      </c>
      <c r="O111">
        <v>4</v>
      </c>
      <c r="P111">
        <v>2.3729399999999998</v>
      </c>
      <c r="Q111">
        <v>2.3729399999999998</v>
      </c>
    </row>
    <row r="112" spans="1:22" x14ac:dyDescent="0.3">
      <c r="A112" t="s">
        <v>17</v>
      </c>
      <c r="B112" t="s">
        <v>94</v>
      </c>
      <c r="C112">
        <v>5</v>
      </c>
      <c r="D112">
        <v>0.132573</v>
      </c>
      <c r="E112">
        <v>0.132573</v>
      </c>
      <c r="M112" t="s">
        <v>275</v>
      </c>
      <c r="N112" t="s">
        <v>280</v>
      </c>
      <c r="O112">
        <v>5</v>
      </c>
      <c r="P112">
        <v>2.40855</v>
      </c>
      <c r="Q112">
        <v>2.40855</v>
      </c>
    </row>
    <row r="113" spans="1:17" x14ac:dyDescent="0.3">
      <c r="A113" t="s">
        <v>17</v>
      </c>
      <c r="B113" t="s">
        <v>95</v>
      </c>
      <c r="C113">
        <v>6</v>
      </c>
      <c r="D113">
        <v>0.131605</v>
      </c>
      <c r="E113">
        <v>0.131605</v>
      </c>
      <c r="M113" t="s">
        <v>275</v>
      </c>
      <c r="N113" t="s">
        <v>281</v>
      </c>
      <c r="O113">
        <v>6</v>
      </c>
      <c r="P113">
        <v>2.4445649999999999</v>
      </c>
      <c r="Q113">
        <v>2.4445649999999999</v>
      </c>
    </row>
    <row r="114" spans="1:17" x14ac:dyDescent="0.3">
      <c r="A114" t="s">
        <v>17</v>
      </c>
      <c r="B114" t="s">
        <v>96</v>
      </c>
      <c r="C114">
        <v>7</v>
      </c>
      <c r="D114">
        <v>0.132136</v>
      </c>
      <c r="E114">
        <v>0.132136</v>
      </c>
      <c r="M114" t="s">
        <v>275</v>
      </c>
      <c r="N114" t="s">
        <v>282</v>
      </c>
      <c r="O114">
        <v>7</v>
      </c>
      <c r="P114">
        <v>2.4264209999999999</v>
      </c>
      <c r="Q114">
        <v>2.4264209999999999</v>
      </c>
    </row>
    <row r="115" spans="1:17" x14ac:dyDescent="0.3">
      <c r="A115" t="s">
        <v>17</v>
      </c>
      <c r="B115" t="s">
        <v>97</v>
      </c>
      <c r="C115">
        <v>8</v>
      </c>
      <c r="D115">
        <v>0.13173899999999999</v>
      </c>
      <c r="E115">
        <v>0.13173899999999999</v>
      </c>
      <c r="M115" t="s">
        <v>275</v>
      </c>
      <c r="N115" t="s">
        <v>283</v>
      </c>
      <c r="O115">
        <v>8</v>
      </c>
      <c r="P115">
        <v>2.3966789999999998</v>
      </c>
      <c r="Q115">
        <v>2.3966789999999998</v>
      </c>
    </row>
    <row r="116" spans="1:17" x14ac:dyDescent="0.3">
      <c r="A116" t="s">
        <v>17</v>
      </c>
      <c r="B116" t="s">
        <v>98</v>
      </c>
      <c r="C116">
        <v>9</v>
      </c>
      <c r="D116">
        <v>0.13175400000000001</v>
      </c>
      <c r="E116">
        <v>0.13175400000000001</v>
      </c>
      <c r="M116" t="s">
        <v>275</v>
      </c>
      <c r="N116" t="s">
        <v>284</v>
      </c>
      <c r="O116">
        <v>9</v>
      </c>
      <c r="P116">
        <v>2.3692449999999998</v>
      </c>
      <c r="Q116">
        <v>2.3692449999999998</v>
      </c>
    </row>
    <row r="117" spans="1:17" x14ac:dyDescent="0.3">
      <c r="A117" t="s">
        <v>17</v>
      </c>
      <c r="B117" t="s">
        <v>99</v>
      </c>
      <c r="C117">
        <v>10</v>
      </c>
      <c r="D117">
        <v>0.13187099999999999</v>
      </c>
      <c r="E117">
        <v>0.13187099999999999</v>
      </c>
      <c r="M117" t="s">
        <v>275</v>
      </c>
      <c r="N117" t="s">
        <v>285</v>
      </c>
      <c r="O117">
        <v>10</v>
      </c>
      <c r="P117">
        <v>2.4447480000000001</v>
      </c>
      <c r="Q117">
        <v>2.4447480000000001</v>
      </c>
    </row>
    <row r="118" spans="1:17" x14ac:dyDescent="0.3">
      <c r="A118" t="s">
        <v>17</v>
      </c>
      <c r="B118" t="s">
        <v>100</v>
      </c>
      <c r="C118">
        <v>11</v>
      </c>
      <c r="D118">
        <v>0.13163800000000001</v>
      </c>
      <c r="E118">
        <v>0.13163800000000001</v>
      </c>
      <c r="M118" t="s">
        <v>275</v>
      </c>
      <c r="N118" t="s">
        <v>286</v>
      </c>
      <c r="O118">
        <v>11</v>
      </c>
      <c r="P118">
        <v>2.3939810000000001</v>
      </c>
      <c r="Q118">
        <v>2.3939810000000001</v>
      </c>
    </row>
    <row r="119" spans="1:17" x14ac:dyDescent="0.3">
      <c r="A119" t="s">
        <v>17</v>
      </c>
      <c r="B119" t="s">
        <v>101</v>
      </c>
      <c r="C119">
        <v>12</v>
      </c>
      <c r="D119">
        <v>0.13255900000000001</v>
      </c>
      <c r="E119">
        <v>0.13255900000000001</v>
      </c>
      <c r="M119" t="s">
        <v>275</v>
      </c>
      <c r="N119" t="s">
        <v>287</v>
      </c>
      <c r="O119">
        <v>12</v>
      </c>
      <c r="P119">
        <v>2.4390930000000002</v>
      </c>
      <c r="Q119">
        <v>2.4390930000000002</v>
      </c>
    </row>
    <row r="120" spans="1:17" x14ac:dyDescent="0.3">
      <c r="A120" t="s">
        <v>17</v>
      </c>
      <c r="B120" t="s">
        <v>102</v>
      </c>
      <c r="C120">
        <v>13</v>
      </c>
      <c r="D120">
        <v>0.131855</v>
      </c>
      <c r="E120">
        <v>0.131855</v>
      </c>
      <c r="M120" t="s">
        <v>275</v>
      </c>
      <c r="N120" t="s">
        <v>288</v>
      </c>
      <c r="O120">
        <v>13</v>
      </c>
      <c r="P120">
        <v>2.3389289999999998</v>
      </c>
      <c r="Q120">
        <v>2.3389289999999998</v>
      </c>
    </row>
    <row r="121" spans="1:17" x14ac:dyDescent="0.3">
      <c r="A121" t="s">
        <v>17</v>
      </c>
      <c r="B121" t="s">
        <v>103</v>
      </c>
      <c r="C121">
        <v>14</v>
      </c>
      <c r="D121">
        <v>0.132578</v>
      </c>
      <c r="E121">
        <v>0.132578</v>
      </c>
      <c r="M121" t="s">
        <v>275</v>
      </c>
      <c r="N121" t="s">
        <v>289</v>
      </c>
      <c r="O121">
        <v>14</v>
      </c>
      <c r="P121">
        <v>2.3486150000000001</v>
      </c>
      <c r="Q121">
        <v>2.3486150000000001</v>
      </c>
    </row>
    <row r="122" spans="1:17" x14ac:dyDescent="0.3">
      <c r="A122" t="s">
        <v>17</v>
      </c>
      <c r="B122" t="s">
        <v>104</v>
      </c>
      <c r="C122">
        <v>15</v>
      </c>
      <c r="D122">
        <v>0.13181799999999999</v>
      </c>
      <c r="E122">
        <v>0.13181799999999999</v>
      </c>
      <c r="M122" t="s">
        <v>275</v>
      </c>
      <c r="N122" t="s">
        <v>290</v>
      </c>
      <c r="O122">
        <v>15</v>
      </c>
      <c r="P122">
        <v>2.402768</v>
      </c>
      <c r="Q122">
        <v>2.402768</v>
      </c>
    </row>
    <row r="123" spans="1:17" x14ac:dyDescent="0.3">
      <c r="A123" t="s">
        <v>17</v>
      </c>
      <c r="B123" t="s">
        <v>105</v>
      </c>
      <c r="C123">
        <v>16</v>
      </c>
      <c r="D123">
        <v>0.13211899999999999</v>
      </c>
      <c r="E123">
        <v>0.13211899999999999</v>
      </c>
      <c r="M123" t="s">
        <v>275</v>
      </c>
      <c r="N123" t="s">
        <v>291</v>
      </c>
      <c r="O123">
        <v>16</v>
      </c>
      <c r="P123">
        <v>2.364973</v>
      </c>
      <c r="Q123">
        <v>2.364973</v>
      </c>
    </row>
    <row r="124" spans="1:17" x14ac:dyDescent="0.3">
      <c r="A124" t="s">
        <v>17</v>
      </c>
      <c r="B124" t="s">
        <v>106</v>
      </c>
      <c r="C124">
        <v>17</v>
      </c>
      <c r="D124">
        <v>0.131825</v>
      </c>
      <c r="E124">
        <v>0.131825</v>
      </c>
      <c r="M124" t="s">
        <v>275</v>
      </c>
      <c r="N124" t="s">
        <v>292</v>
      </c>
      <c r="O124">
        <v>17</v>
      </c>
      <c r="P124">
        <v>2.3589440000000002</v>
      </c>
      <c r="Q124">
        <v>2.3589440000000002</v>
      </c>
    </row>
    <row r="125" spans="1:17" x14ac:dyDescent="0.3">
      <c r="A125" t="s">
        <v>17</v>
      </c>
      <c r="B125" t="s">
        <v>107</v>
      </c>
      <c r="C125">
        <v>18</v>
      </c>
      <c r="D125">
        <v>0.13172900000000001</v>
      </c>
      <c r="E125">
        <v>0.13172900000000001</v>
      </c>
      <c r="M125" t="s">
        <v>275</v>
      </c>
      <c r="N125" t="s">
        <v>293</v>
      </c>
      <c r="O125">
        <v>18</v>
      </c>
      <c r="P125">
        <v>2.3968940000000001</v>
      </c>
      <c r="Q125">
        <v>2.3968940000000001</v>
      </c>
    </row>
    <row r="126" spans="1:17" x14ac:dyDescent="0.3">
      <c r="A126" t="s">
        <v>17</v>
      </c>
      <c r="B126" t="s">
        <v>108</v>
      </c>
      <c r="C126">
        <v>19</v>
      </c>
      <c r="D126">
        <v>0.13197400000000001</v>
      </c>
      <c r="E126">
        <v>0.13197400000000001</v>
      </c>
      <c r="M126" t="s">
        <v>275</v>
      </c>
      <c r="N126" t="s">
        <v>294</v>
      </c>
      <c r="O126">
        <v>19</v>
      </c>
      <c r="P126">
        <v>2.4520439999999999</v>
      </c>
      <c r="Q126">
        <v>2.4520439999999999</v>
      </c>
    </row>
    <row r="127" spans="1:17" x14ac:dyDescent="0.3">
      <c r="A127" t="s">
        <v>17</v>
      </c>
      <c r="B127" t="s">
        <v>109</v>
      </c>
      <c r="C127">
        <v>20</v>
      </c>
      <c r="D127">
        <v>0.13181599999999999</v>
      </c>
      <c r="E127">
        <v>0.13181599999999999</v>
      </c>
      <c r="M127" t="s">
        <v>275</v>
      </c>
      <c r="N127" t="s">
        <v>295</v>
      </c>
      <c r="O127">
        <v>20</v>
      </c>
      <c r="P127">
        <v>2.3970419999999999</v>
      </c>
      <c r="Q127">
        <v>2.3970419999999999</v>
      </c>
    </row>
    <row r="128" spans="1:17" x14ac:dyDescent="0.3">
      <c r="A128" t="s">
        <v>17</v>
      </c>
      <c r="B128" t="s">
        <v>110</v>
      </c>
      <c r="C128">
        <v>21</v>
      </c>
      <c r="D128">
        <v>0.13259699999999999</v>
      </c>
      <c r="E128">
        <v>0.13259699999999999</v>
      </c>
      <c r="M128" t="s">
        <v>275</v>
      </c>
      <c r="N128" t="s">
        <v>296</v>
      </c>
      <c r="O128">
        <v>21</v>
      </c>
      <c r="P128">
        <v>2.2840989999999999</v>
      </c>
      <c r="Q128">
        <v>2.2840989999999999</v>
      </c>
    </row>
    <row r="129" spans="1:22" x14ac:dyDescent="0.3">
      <c r="A129" t="s">
        <v>17</v>
      </c>
      <c r="B129" t="s">
        <v>111</v>
      </c>
      <c r="C129">
        <v>22</v>
      </c>
      <c r="D129">
        <v>0.13222600000000001</v>
      </c>
      <c r="E129">
        <v>0.13222600000000001</v>
      </c>
      <c r="M129" t="s">
        <v>275</v>
      </c>
      <c r="N129" t="s">
        <v>297</v>
      </c>
      <c r="O129">
        <v>22</v>
      </c>
      <c r="P129">
        <v>2.4138769999999998</v>
      </c>
      <c r="Q129">
        <v>2.4138769999999998</v>
      </c>
    </row>
    <row r="130" spans="1:22" x14ac:dyDescent="0.3">
      <c r="A130" t="s">
        <v>17</v>
      </c>
      <c r="B130" t="s">
        <v>112</v>
      </c>
      <c r="C130">
        <v>23</v>
      </c>
      <c r="D130">
        <v>0.131356</v>
      </c>
      <c r="E130">
        <v>0.131356</v>
      </c>
      <c r="M130" t="s">
        <v>275</v>
      </c>
      <c r="N130" t="s">
        <v>298</v>
      </c>
      <c r="O130">
        <v>23</v>
      </c>
      <c r="P130">
        <v>2.4229639999999999</v>
      </c>
      <c r="Q130">
        <v>2.4229639999999999</v>
      </c>
    </row>
    <row r="131" spans="1:22" x14ac:dyDescent="0.3">
      <c r="A131" t="s">
        <v>17</v>
      </c>
      <c r="B131" t="s">
        <v>113</v>
      </c>
      <c r="C131">
        <v>24</v>
      </c>
      <c r="D131">
        <v>0.13189400000000001</v>
      </c>
      <c r="E131">
        <v>0.13189400000000001</v>
      </c>
      <c r="M131" t="s">
        <v>275</v>
      </c>
      <c r="N131" t="s">
        <v>299</v>
      </c>
      <c r="O131">
        <v>24</v>
      </c>
      <c r="P131">
        <v>2.4216489999999999</v>
      </c>
      <c r="Q131">
        <v>2.4216489999999999</v>
      </c>
    </row>
    <row r="132" spans="1:22" x14ac:dyDescent="0.3">
      <c r="A132" t="s">
        <v>17</v>
      </c>
      <c r="B132" t="s">
        <v>114</v>
      </c>
      <c r="C132">
        <v>25</v>
      </c>
      <c r="D132">
        <v>0.13183500000000001</v>
      </c>
      <c r="E132">
        <v>0.13183500000000001</v>
      </c>
      <c r="M132" t="s">
        <v>275</v>
      </c>
      <c r="N132" t="s">
        <v>300</v>
      </c>
      <c r="O132">
        <v>25</v>
      </c>
      <c r="P132">
        <v>2.4090159999999998</v>
      </c>
      <c r="Q132">
        <v>2.4090159999999998</v>
      </c>
    </row>
    <row r="133" spans="1:22" x14ac:dyDescent="0.3">
      <c r="A133" t="s">
        <v>17</v>
      </c>
      <c r="B133" t="s">
        <v>115</v>
      </c>
      <c r="C133">
        <v>26</v>
      </c>
      <c r="D133">
        <v>0.13262599999999999</v>
      </c>
      <c r="E133">
        <v>0.13262599999999999</v>
      </c>
      <c r="M133" t="s">
        <v>275</v>
      </c>
      <c r="N133" t="s">
        <v>301</v>
      </c>
      <c r="O133">
        <v>26</v>
      </c>
      <c r="P133">
        <v>2.3482910000000001</v>
      </c>
      <c r="Q133">
        <v>2.3482910000000001</v>
      </c>
    </row>
    <row r="134" spans="1:22" x14ac:dyDescent="0.3">
      <c r="A134" t="s">
        <v>17</v>
      </c>
      <c r="B134" t="s">
        <v>116</v>
      </c>
      <c r="C134">
        <v>27</v>
      </c>
      <c r="D134">
        <v>0.13289000000000001</v>
      </c>
      <c r="E134">
        <v>0.13289000000000001</v>
      </c>
      <c r="M134" t="s">
        <v>275</v>
      </c>
      <c r="N134" t="s">
        <v>302</v>
      </c>
      <c r="O134">
        <v>27</v>
      </c>
      <c r="P134">
        <v>2.3631500000000001</v>
      </c>
      <c r="Q134">
        <v>2.3631500000000001</v>
      </c>
    </row>
    <row r="135" spans="1:22" x14ac:dyDescent="0.3">
      <c r="A135" t="s">
        <v>17</v>
      </c>
      <c r="B135" t="s">
        <v>117</v>
      </c>
      <c r="C135">
        <v>28</v>
      </c>
      <c r="D135">
        <v>0.13251599999999999</v>
      </c>
      <c r="E135">
        <v>0.13251599999999999</v>
      </c>
      <c r="M135" t="s">
        <v>275</v>
      </c>
      <c r="N135" t="s">
        <v>303</v>
      </c>
      <c r="O135">
        <v>28</v>
      </c>
      <c r="P135">
        <v>2.3261159999999999</v>
      </c>
      <c r="Q135">
        <v>2.3261159999999999</v>
      </c>
    </row>
    <row r="136" spans="1:22" x14ac:dyDescent="0.3">
      <c r="A136" t="s">
        <v>17</v>
      </c>
      <c r="B136" t="s">
        <v>118</v>
      </c>
      <c r="C136">
        <v>29</v>
      </c>
      <c r="D136">
        <v>0.13194800000000001</v>
      </c>
      <c r="E136">
        <v>0.13194800000000001</v>
      </c>
      <c r="M136" t="s">
        <v>275</v>
      </c>
      <c r="N136" t="s">
        <v>304</v>
      </c>
      <c r="O136">
        <v>29</v>
      </c>
      <c r="P136">
        <v>2.4211939999999998</v>
      </c>
      <c r="Q136">
        <v>2.4211939999999998</v>
      </c>
    </row>
    <row r="137" spans="1:22" x14ac:dyDescent="0.3">
      <c r="A137" t="s">
        <v>17</v>
      </c>
      <c r="B137" t="s">
        <v>119</v>
      </c>
      <c r="C137">
        <v>30</v>
      </c>
      <c r="D137">
        <v>0.13205600000000001</v>
      </c>
      <c r="E137">
        <v>0.13205600000000001</v>
      </c>
      <c r="M137" t="s">
        <v>275</v>
      </c>
      <c r="N137" t="s">
        <v>305</v>
      </c>
      <c r="O137">
        <v>30</v>
      </c>
      <c r="P137">
        <v>2.4395220000000002</v>
      </c>
      <c r="Q137">
        <v>2.4395220000000002</v>
      </c>
    </row>
    <row r="138" spans="1:22" x14ac:dyDescent="0.3">
      <c r="D138">
        <f>AVERAGE(D108:D137)</f>
        <v>0.13205780000000003</v>
      </c>
      <c r="E138" t="s">
        <v>342</v>
      </c>
      <c r="F138" s="1">
        <f>_xlfn.STDEV.S(D108:D137)</f>
        <v>3.9456614322482187E-4</v>
      </c>
      <c r="G138" t="s">
        <v>343</v>
      </c>
      <c r="H138" s="1">
        <f>F138/D138*100</f>
        <v>0.29878291416699487</v>
      </c>
      <c r="I138" t="s">
        <v>344</v>
      </c>
      <c r="J138" s="1">
        <f>_xlfn.T.INV.2T(0.05,29)*F138/SQRT(30)</f>
        <v>1.47333419237124E-4</v>
      </c>
      <c r="P138">
        <f>AVERAGE(P108:P137)</f>
        <v>2.3927399000000005</v>
      </c>
      <c r="Q138" t="s">
        <v>342</v>
      </c>
      <c r="R138" s="1">
        <f>_xlfn.STDEV.S(P108:P137)</f>
        <v>3.9817511355882892E-2</v>
      </c>
      <c r="S138" t="s">
        <v>343</v>
      </c>
      <c r="T138" s="1">
        <f>R138/P138*100</f>
        <v>1.6640969357297415</v>
      </c>
      <c r="U138" t="s">
        <v>344</v>
      </c>
      <c r="V138" s="1">
        <f>_xlfn.T.INV.2T(0.05,29)*R138/SQRT(30)</f>
        <v>1.4868103090722017E-2</v>
      </c>
    </row>
    <row r="141" spans="1:22" x14ac:dyDescent="0.3">
      <c r="A141" t="s">
        <v>26</v>
      </c>
      <c r="B141" t="s">
        <v>0</v>
      </c>
      <c r="C141" t="s">
        <v>27</v>
      </c>
      <c r="D141" t="s">
        <v>28</v>
      </c>
      <c r="E141" t="s">
        <v>29</v>
      </c>
      <c r="M141" t="s">
        <v>26</v>
      </c>
      <c r="N141" t="s">
        <v>0</v>
      </c>
      <c r="O141" t="s">
        <v>27</v>
      </c>
      <c r="P141" t="s">
        <v>28</v>
      </c>
      <c r="Q141" t="s">
        <v>29</v>
      </c>
    </row>
    <row r="142" spans="1:22" x14ac:dyDescent="0.3">
      <c r="A142" t="s">
        <v>19</v>
      </c>
      <c r="B142" t="s">
        <v>120</v>
      </c>
      <c r="C142">
        <v>1</v>
      </c>
      <c r="D142">
        <v>0.20932100000000001</v>
      </c>
      <c r="E142">
        <v>0.20932100000000001</v>
      </c>
      <c r="M142" t="s">
        <v>306</v>
      </c>
      <c r="N142" t="s">
        <v>307</v>
      </c>
      <c r="O142">
        <v>1</v>
      </c>
      <c r="P142">
        <v>74.925962999999996</v>
      </c>
      <c r="Q142">
        <v>74.925962999999996</v>
      </c>
    </row>
    <row r="143" spans="1:22" x14ac:dyDescent="0.3">
      <c r="A143" t="s">
        <v>19</v>
      </c>
      <c r="B143" t="s">
        <v>121</v>
      </c>
      <c r="C143">
        <v>2</v>
      </c>
      <c r="D143">
        <v>0.209036</v>
      </c>
      <c r="E143">
        <v>0.209036</v>
      </c>
      <c r="M143" t="s">
        <v>306</v>
      </c>
      <c r="N143" t="s">
        <v>308</v>
      </c>
      <c r="O143">
        <v>2</v>
      </c>
      <c r="P143">
        <v>74.983693000000002</v>
      </c>
      <c r="Q143">
        <v>74.983693000000002</v>
      </c>
    </row>
    <row r="144" spans="1:22" x14ac:dyDescent="0.3">
      <c r="A144" t="s">
        <v>19</v>
      </c>
      <c r="B144" t="s">
        <v>122</v>
      </c>
      <c r="C144">
        <v>3</v>
      </c>
      <c r="D144">
        <v>0.20916499999999999</v>
      </c>
      <c r="E144">
        <v>0.20916499999999999</v>
      </c>
      <c r="M144" t="s">
        <v>306</v>
      </c>
      <c r="N144" t="s">
        <v>309</v>
      </c>
      <c r="O144">
        <v>3</v>
      </c>
      <c r="P144">
        <v>74.885830999999996</v>
      </c>
      <c r="Q144">
        <v>74.885830999999996</v>
      </c>
    </row>
    <row r="145" spans="1:17" x14ac:dyDescent="0.3">
      <c r="A145" t="s">
        <v>19</v>
      </c>
      <c r="B145" t="s">
        <v>123</v>
      </c>
      <c r="C145">
        <v>4</v>
      </c>
      <c r="D145">
        <v>0.209171</v>
      </c>
      <c r="E145">
        <v>0.209171</v>
      </c>
      <c r="M145" t="s">
        <v>306</v>
      </c>
      <c r="N145" t="s">
        <v>310</v>
      </c>
      <c r="O145">
        <v>4</v>
      </c>
      <c r="P145">
        <v>77.742093999999994</v>
      </c>
      <c r="Q145">
        <v>77.742093999999994</v>
      </c>
    </row>
    <row r="146" spans="1:17" x14ac:dyDescent="0.3">
      <c r="A146" t="s">
        <v>19</v>
      </c>
      <c r="B146" t="s">
        <v>124</v>
      </c>
      <c r="C146">
        <v>5</v>
      </c>
      <c r="D146">
        <v>0.21085899999999999</v>
      </c>
      <c r="E146">
        <v>0.21085899999999999</v>
      </c>
      <c r="M146" t="s">
        <v>306</v>
      </c>
      <c r="N146" t="s">
        <v>311</v>
      </c>
      <c r="O146">
        <v>5</v>
      </c>
      <c r="P146">
        <v>75.046955999999994</v>
      </c>
      <c r="Q146">
        <v>75.046955999999994</v>
      </c>
    </row>
    <row r="147" spans="1:17" x14ac:dyDescent="0.3">
      <c r="A147" t="s">
        <v>19</v>
      </c>
      <c r="B147" t="s">
        <v>125</v>
      </c>
      <c r="C147">
        <v>6</v>
      </c>
      <c r="D147">
        <v>0.20888100000000001</v>
      </c>
      <c r="E147">
        <v>0.20888100000000001</v>
      </c>
      <c r="M147" t="s">
        <v>306</v>
      </c>
      <c r="N147" t="s">
        <v>312</v>
      </c>
      <c r="O147">
        <v>6</v>
      </c>
      <c r="P147">
        <v>74.693226999999993</v>
      </c>
      <c r="Q147">
        <v>74.693226999999993</v>
      </c>
    </row>
    <row r="148" spans="1:17" x14ac:dyDescent="0.3">
      <c r="A148" t="s">
        <v>19</v>
      </c>
      <c r="B148" t="s">
        <v>126</v>
      </c>
      <c r="C148">
        <v>7</v>
      </c>
      <c r="D148">
        <v>0.20844099999999999</v>
      </c>
      <c r="E148">
        <v>0.20844099999999999</v>
      </c>
      <c r="M148" t="s">
        <v>306</v>
      </c>
      <c r="N148" t="s">
        <v>313</v>
      </c>
      <c r="O148">
        <v>7</v>
      </c>
      <c r="P148">
        <v>75.131429999999995</v>
      </c>
      <c r="Q148">
        <v>75.131429999999995</v>
      </c>
    </row>
    <row r="149" spans="1:17" x14ac:dyDescent="0.3">
      <c r="A149" t="s">
        <v>19</v>
      </c>
      <c r="B149" t="s">
        <v>127</v>
      </c>
      <c r="C149">
        <v>8</v>
      </c>
      <c r="D149">
        <v>0.209144</v>
      </c>
      <c r="E149">
        <v>0.209144</v>
      </c>
      <c r="M149" t="s">
        <v>306</v>
      </c>
      <c r="N149" t="s">
        <v>314</v>
      </c>
      <c r="O149">
        <v>8</v>
      </c>
      <c r="P149">
        <v>75.077500000000001</v>
      </c>
      <c r="Q149">
        <v>75.077500000000001</v>
      </c>
    </row>
    <row r="150" spans="1:17" x14ac:dyDescent="0.3">
      <c r="A150" t="s">
        <v>19</v>
      </c>
      <c r="B150" t="s">
        <v>128</v>
      </c>
      <c r="C150">
        <v>9</v>
      </c>
      <c r="D150">
        <v>0.20824699999999999</v>
      </c>
      <c r="E150">
        <v>0.20824699999999999</v>
      </c>
      <c r="M150" t="s">
        <v>306</v>
      </c>
      <c r="N150" t="s">
        <v>315</v>
      </c>
      <c r="O150">
        <v>9</v>
      </c>
      <c r="P150">
        <v>75.374031000000002</v>
      </c>
      <c r="Q150">
        <v>75.374031000000002</v>
      </c>
    </row>
    <row r="151" spans="1:17" x14ac:dyDescent="0.3">
      <c r="A151" t="s">
        <v>19</v>
      </c>
      <c r="B151" t="s">
        <v>129</v>
      </c>
      <c r="C151">
        <v>10</v>
      </c>
      <c r="D151">
        <v>0.20979900000000001</v>
      </c>
      <c r="E151">
        <v>0.20979900000000001</v>
      </c>
      <c r="M151" t="s">
        <v>306</v>
      </c>
      <c r="N151" t="s">
        <v>316</v>
      </c>
      <c r="O151">
        <v>10</v>
      </c>
      <c r="P151">
        <v>75.039788999999999</v>
      </c>
      <c r="Q151">
        <v>75.039788999999999</v>
      </c>
    </row>
    <row r="152" spans="1:17" x14ac:dyDescent="0.3">
      <c r="A152" t="s">
        <v>19</v>
      </c>
      <c r="B152" t="s">
        <v>130</v>
      </c>
      <c r="C152">
        <v>11</v>
      </c>
      <c r="D152">
        <v>0.20955099999999999</v>
      </c>
      <c r="E152">
        <v>0.20955099999999999</v>
      </c>
      <c r="M152" t="s">
        <v>306</v>
      </c>
      <c r="N152" t="s">
        <v>317</v>
      </c>
      <c r="O152">
        <v>11</v>
      </c>
      <c r="P152">
        <v>75.134901999999997</v>
      </c>
      <c r="Q152">
        <v>75.134901999999997</v>
      </c>
    </row>
    <row r="153" spans="1:17" x14ac:dyDescent="0.3">
      <c r="A153" t="s">
        <v>19</v>
      </c>
      <c r="B153" t="s">
        <v>131</v>
      </c>
      <c r="C153">
        <v>12</v>
      </c>
      <c r="D153">
        <v>0.20980399999999999</v>
      </c>
      <c r="E153">
        <v>0.20980399999999999</v>
      </c>
      <c r="M153" t="s">
        <v>306</v>
      </c>
      <c r="N153" t="s">
        <v>318</v>
      </c>
      <c r="O153">
        <v>12</v>
      </c>
      <c r="P153">
        <v>74.995017000000004</v>
      </c>
      <c r="Q153">
        <v>74.995017000000004</v>
      </c>
    </row>
    <row r="154" spans="1:17" x14ac:dyDescent="0.3">
      <c r="A154" t="s">
        <v>19</v>
      </c>
      <c r="B154" t="s">
        <v>132</v>
      </c>
      <c r="C154">
        <v>13</v>
      </c>
      <c r="D154">
        <v>0.20964099999999999</v>
      </c>
      <c r="E154">
        <v>0.20964099999999999</v>
      </c>
      <c r="M154" t="s">
        <v>306</v>
      </c>
      <c r="N154" t="s">
        <v>319</v>
      </c>
      <c r="O154">
        <v>13</v>
      </c>
      <c r="P154">
        <v>74.871633000000003</v>
      </c>
      <c r="Q154">
        <v>74.871633000000003</v>
      </c>
    </row>
    <row r="155" spans="1:17" x14ac:dyDescent="0.3">
      <c r="A155" t="s">
        <v>19</v>
      </c>
      <c r="B155" t="s">
        <v>133</v>
      </c>
      <c r="C155">
        <v>14</v>
      </c>
      <c r="D155">
        <v>0.208648</v>
      </c>
      <c r="E155">
        <v>0.208648</v>
      </c>
      <c r="M155" t="s">
        <v>306</v>
      </c>
      <c r="N155" t="s">
        <v>320</v>
      </c>
      <c r="O155">
        <v>14</v>
      </c>
      <c r="P155">
        <v>75.097002000000003</v>
      </c>
      <c r="Q155">
        <v>75.097002000000003</v>
      </c>
    </row>
    <row r="156" spans="1:17" x14ac:dyDescent="0.3">
      <c r="A156" t="s">
        <v>19</v>
      </c>
      <c r="B156" t="s">
        <v>134</v>
      </c>
      <c r="C156">
        <v>15</v>
      </c>
      <c r="D156">
        <v>0.209729</v>
      </c>
      <c r="E156">
        <v>0.209729</v>
      </c>
      <c r="M156" t="s">
        <v>306</v>
      </c>
      <c r="N156" t="s">
        <v>321</v>
      </c>
      <c r="O156">
        <v>15</v>
      </c>
      <c r="P156">
        <v>74.995785999999995</v>
      </c>
      <c r="Q156">
        <v>74.995785999999995</v>
      </c>
    </row>
    <row r="157" spans="1:17" x14ac:dyDescent="0.3">
      <c r="A157" t="s">
        <v>19</v>
      </c>
      <c r="B157" t="s">
        <v>135</v>
      </c>
      <c r="C157">
        <v>16</v>
      </c>
      <c r="D157">
        <v>0.209649</v>
      </c>
      <c r="E157">
        <v>0.209649</v>
      </c>
      <c r="M157" t="s">
        <v>306</v>
      </c>
      <c r="N157" t="s">
        <v>322</v>
      </c>
      <c r="O157">
        <v>16</v>
      </c>
      <c r="P157">
        <v>75.014166000000003</v>
      </c>
      <c r="Q157">
        <v>75.014166000000003</v>
      </c>
    </row>
    <row r="158" spans="1:17" x14ac:dyDescent="0.3">
      <c r="A158" t="s">
        <v>19</v>
      </c>
      <c r="B158" t="s">
        <v>136</v>
      </c>
      <c r="C158">
        <v>17</v>
      </c>
      <c r="D158">
        <v>0.20873700000000001</v>
      </c>
      <c r="E158">
        <v>0.20873700000000001</v>
      </c>
      <c r="M158" t="s">
        <v>306</v>
      </c>
      <c r="N158" t="s">
        <v>323</v>
      </c>
      <c r="O158">
        <v>17</v>
      </c>
      <c r="P158">
        <v>74.997761999999994</v>
      </c>
      <c r="Q158">
        <v>74.997761999999994</v>
      </c>
    </row>
    <row r="159" spans="1:17" x14ac:dyDescent="0.3">
      <c r="A159" t="s">
        <v>19</v>
      </c>
      <c r="B159" t="s">
        <v>137</v>
      </c>
      <c r="C159">
        <v>18</v>
      </c>
      <c r="D159">
        <v>0.20864099999999999</v>
      </c>
      <c r="E159">
        <v>0.20864099999999999</v>
      </c>
      <c r="M159" t="s">
        <v>306</v>
      </c>
      <c r="N159" t="s">
        <v>324</v>
      </c>
      <c r="O159">
        <v>18</v>
      </c>
      <c r="P159">
        <v>75.17098</v>
      </c>
      <c r="Q159">
        <v>75.17098</v>
      </c>
    </row>
    <row r="160" spans="1:17" x14ac:dyDescent="0.3">
      <c r="A160" t="s">
        <v>19</v>
      </c>
      <c r="B160" t="s">
        <v>138</v>
      </c>
      <c r="C160">
        <v>19</v>
      </c>
      <c r="D160">
        <v>0.208677</v>
      </c>
      <c r="E160">
        <v>0.208677</v>
      </c>
      <c r="M160" t="s">
        <v>306</v>
      </c>
      <c r="N160" t="s">
        <v>325</v>
      </c>
      <c r="O160">
        <v>19</v>
      </c>
      <c r="P160">
        <v>75.275497000000001</v>
      </c>
      <c r="Q160">
        <v>75.275497000000001</v>
      </c>
    </row>
    <row r="161" spans="1:22" x14ac:dyDescent="0.3">
      <c r="A161" t="s">
        <v>19</v>
      </c>
      <c r="B161" t="s">
        <v>139</v>
      </c>
      <c r="C161">
        <v>20</v>
      </c>
      <c r="D161">
        <v>0.21030599999999999</v>
      </c>
      <c r="E161">
        <v>0.21030599999999999</v>
      </c>
      <c r="M161" t="s">
        <v>306</v>
      </c>
      <c r="N161" t="s">
        <v>326</v>
      </c>
      <c r="O161">
        <v>20</v>
      </c>
      <c r="P161">
        <v>74.818702000000002</v>
      </c>
      <c r="Q161">
        <v>74.818702000000002</v>
      </c>
    </row>
    <row r="162" spans="1:22" x14ac:dyDescent="0.3">
      <c r="A162" t="s">
        <v>19</v>
      </c>
      <c r="B162" t="s">
        <v>140</v>
      </c>
      <c r="C162">
        <v>21</v>
      </c>
      <c r="D162">
        <v>0.20957799999999999</v>
      </c>
      <c r="E162">
        <v>0.20957799999999999</v>
      </c>
      <c r="M162" t="s">
        <v>306</v>
      </c>
      <c r="N162" t="s">
        <v>327</v>
      </c>
      <c r="O162">
        <v>21</v>
      </c>
      <c r="P162">
        <v>76.297758999999999</v>
      </c>
      <c r="Q162">
        <v>76.297758999999999</v>
      </c>
    </row>
    <row r="163" spans="1:22" x14ac:dyDescent="0.3">
      <c r="A163" t="s">
        <v>19</v>
      </c>
      <c r="B163" t="s">
        <v>141</v>
      </c>
      <c r="C163">
        <v>22</v>
      </c>
      <c r="D163">
        <v>0.20832100000000001</v>
      </c>
      <c r="E163">
        <v>0.20832100000000001</v>
      </c>
      <c r="M163" t="s">
        <v>306</v>
      </c>
      <c r="N163" t="s">
        <v>328</v>
      </c>
      <c r="O163">
        <v>22</v>
      </c>
      <c r="P163">
        <v>74.979898000000006</v>
      </c>
      <c r="Q163">
        <v>74.979898000000006</v>
      </c>
    </row>
    <row r="164" spans="1:22" x14ac:dyDescent="0.3">
      <c r="A164" t="s">
        <v>19</v>
      </c>
      <c r="B164" t="s">
        <v>142</v>
      </c>
      <c r="C164">
        <v>23</v>
      </c>
      <c r="D164">
        <v>0.20935300000000001</v>
      </c>
      <c r="E164">
        <v>0.20935300000000001</v>
      </c>
      <c r="M164" t="s">
        <v>306</v>
      </c>
      <c r="N164" t="s">
        <v>329</v>
      </c>
      <c r="O164">
        <v>23</v>
      </c>
      <c r="P164">
        <v>75.023296999999999</v>
      </c>
      <c r="Q164">
        <v>75.023296999999999</v>
      </c>
    </row>
    <row r="165" spans="1:22" x14ac:dyDescent="0.3">
      <c r="A165" t="s">
        <v>19</v>
      </c>
      <c r="B165" t="s">
        <v>143</v>
      </c>
      <c r="C165">
        <v>24</v>
      </c>
      <c r="D165">
        <v>0.210061</v>
      </c>
      <c r="E165">
        <v>0.210061</v>
      </c>
      <c r="M165" t="s">
        <v>306</v>
      </c>
      <c r="N165" t="s">
        <v>330</v>
      </c>
      <c r="O165">
        <v>24</v>
      </c>
      <c r="P165">
        <v>74.967654999999993</v>
      </c>
      <c r="Q165">
        <v>74.967654999999993</v>
      </c>
    </row>
    <row r="166" spans="1:22" x14ac:dyDescent="0.3">
      <c r="A166" t="s">
        <v>19</v>
      </c>
      <c r="B166" t="s">
        <v>144</v>
      </c>
      <c r="C166">
        <v>25</v>
      </c>
      <c r="D166">
        <v>0.20896799999999999</v>
      </c>
      <c r="E166">
        <v>0.20896799999999999</v>
      </c>
      <c r="M166" t="s">
        <v>306</v>
      </c>
      <c r="N166" t="s">
        <v>331</v>
      </c>
      <c r="O166">
        <v>25</v>
      </c>
      <c r="P166">
        <v>75.018715999999998</v>
      </c>
      <c r="Q166">
        <v>75.018715999999998</v>
      </c>
    </row>
    <row r="167" spans="1:22" x14ac:dyDescent="0.3">
      <c r="A167" t="s">
        <v>19</v>
      </c>
      <c r="B167" t="s">
        <v>145</v>
      </c>
      <c r="C167">
        <v>26</v>
      </c>
      <c r="D167">
        <v>0.209512</v>
      </c>
      <c r="E167">
        <v>0.209512</v>
      </c>
      <c r="M167" t="s">
        <v>306</v>
      </c>
      <c r="N167" t="s">
        <v>332</v>
      </c>
      <c r="O167">
        <v>26</v>
      </c>
      <c r="P167">
        <v>75.056205000000006</v>
      </c>
      <c r="Q167">
        <v>75.056205000000006</v>
      </c>
    </row>
    <row r="168" spans="1:22" x14ac:dyDescent="0.3">
      <c r="A168" t="s">
        <v>19</v>
      </c>
      <c r="B168" t="s">
        <v>146</v>
      </c>
      <c r="C168">
        <v>27</v>
      </c>
      <c r="D168">
        <v>0.210171</v>
      </c>
      <c r="E168">
        <v>0.210171</v>
      </c>
      <c r="M168" t="s">
        <v>306</v>
      </c>
      <c r="N168" t="s">
        <v>333</v>
      </c>
      <c r="O168">
        <v>27</v>
      </c>
      <c r="P168">
        <v>74.899682999999996</v>
      </c>
      <c r="Q168">
        <v>74.899682999999996</v>
      </c>
    </row>
    <row r="169" spans="1:22" x14ac:dyDescent="0.3">
      <c r="A169" t="s">
        <v>19</v>
      </c>
      <c r="B169" t="s">
        <v>147</v>
      </c>
      <c r="C169">
        <v>28</v>
      </c>
      <c r="D169">
        <v>0.20924599999999999</v>
      </c>
      <c r="E169">
        <v>0.20924599999999999</v>
      </c>
      <c r="M169" t="s">
        <v>306</v>
      </c>
      <c r="N169" t="s">
        <v>334</v>
      </c>
      <c r="O169">
        <v>28</v>
      </c>
      <c r="P169">
        <v>74.919400999999993</v>
      </c>
      <c r="Q169">
        <v>74.919400999999993</v>
      </c>
    </row>
    <row r="170" spans="1:22" x14ac:dyDescent="0.3">
      <c r="A170" t="s">
        <v>19</v>
      </c>
      <c r="B170" t="s">
        <v>148</v>
      </c>
      <c r="C170">
        <v>29</v>
      </c>
      <c r="D170">
        <v>0.20907899999999999</v>
      </c>
      <c r="E170">
        <v>0.20907899999999999</v>
      </c>
      <c r="M170" t="s">
        <v>306</v>
      </c>
      <c r="N170" t="s">
        <v>335</v>
      </c>
      <c r="O170">
        <v>29</v>
      </c>
      <c r="P170">
        <v>74.858862000000002</v>
      </c>
      <c r="Q170">
        <v>74.858862000000002</v>
      </c>
    </row>
    <row r="171" spans="1:22" x14ac:dyDescent="0.3">
      <c r="A171" t="s">
        <v>19</v>
      </c>
      <c r="B171" t="s">
        <v>149</v>
      </c>
      <c r="C171">
        <v>30</v>
      </c>
      <c r="D171">
        <v>0.209096</v>
      </c>
      <c r="E171">
        <v>0.209096</v>
      </c>
      <c r="M171" t="s">
        <v>306</v>
      </c>
      <c r="N171" t="s">
        <v>336</v>
      </c>
      <c r="O171">
        <v>30</v>
      </c>
      <c r="P171">
        <v>75.073605999999998</v>
      </c>
      <c r="Q171">
        <v>75.073605999999998</v>
      </c>
    </row>
    <row r="172" spans="1:22" x14ac:dyDescent="0.3">
      <c r="D172">
        <f>AVERAGE(D142:D171)</f>
        <v>0.20929439999999999</v>
      </c>
      <c r="E172" t="s">
        <v>342</v>
      </c>
      <c r="F172" s="1">
        <f>_xlfn.STDEV.S(D142:D171)</f>
        <v>6.0942672892730419E-4</v>
      </c>
      <c r="G172" t="s">
        <v>343</v>
      </c>
      <c r="H172" s="1">
        <f>F172/D172*100</f>
        <v>0.2911815743408826</v>
      </c>
      <c r="I172" t="s">
        <v>344</v>
      </c>
      <c r="J172" s="1">
        <f>_xlfn.T.INV.2T(0.05,29)*F172/SQRT(30)</f>
        <v>2.2756368048587063E-4</v>
      </c>
      <c r="P172">
        <f>AVERAGE(P142:P171)</f>
        <v>75.145568100000006</v>
      </c>
      <c r="Q172" t="s">
        <v>342</v>
      </c>
      <c r="R172" s="1">
        <f>_xlfn.STDEV.S(P142:P171)</f>
        <v>0.55946866867063483</v>
      </c>
      <c r="S172" t="s">
        <v>343</v>
      </c>
      <c r="T172" s="1">
        <f>R172/P172*100</f>
        <v>0.74451319328123466</v>
      </c>
      <c r="U172" t="s">
        <v>344</v>
      </c>
      <c r="V172" s="1">
        <f>_xlfn.T.INV.2T(0.05,29)*R172/SQRT(30)</f>
        <v>0.20890903420549933</v>
      </c>
    </row>
    <row r="175" spans="1:22" x14ac:dyDescent="0.3">
      <c r="A175" t="s">
        <v>26</v>
      </c>
      <c r="B175" t="s">
        <v>0</v>
      </c>
      <c r="C175" t="s">
        <v>27</v>
      </c>
      <c r="D175" t="s">
        <v>28</v>
      </c>
      <c r="E175" t="s">
        <v>29</v>
      </c>
    </row>
    <row r="176" spans="1:22" x14ac:dyDescent="0.3">
      <c r="A176" t="s">
        <v>20</v>
      </c>
      <c r="B176" t="s">
        <v>150</v>
      </c>
      <c r="C176">
        <v>1</v>
      </c>
      <c r="D176">
        <v>15.206908</v>
      </c>
      <c r="E176">
        <v>15.206908</v>
      </c>
    </row>
    <row r="177" spans="1:5" x14ac:dyDescent="0.3">
      <c r="A177" t="s">
        <v>20</v>
      </c>
      <c r="B177" t="s">
        <v>151</v>
      </c>
      <c r="C177">
        <v>2</v>
      </c>
      <c r="D177">
        <v>15.336537999999999</v>
      </c>
      <c r="E177">
        <v>15.336537999999999</v>
      </c>
    </row>
    <row r="178" spans="1:5" x14ac:dyDescent="0.3">
      <c r="A178" t="s">
        <v>20</v>
      </c>
      <c r="B178" t="s">
        <v>152</v>
      </c>
      <c r="C178">
        <v>3</v>
      </c>
      <c r="D178">
        <v>15.316573</v>
      </c>
      <c r="E178">
        <v>15.316573</v>
      </c>
    </row>
    <row r="179" spans="1:5" x14ac:dyDescent="0.3">
      <c r="A179" t="s">
        <v>20</v>
      </c>
      <c r="B179" t="s">
        <v>153</v>
      </c>
      <c r="C179">
        <v>4</v>
      </c>
      <c r="D179">
        <v>15.354267</v>
      </c>
      <c r="E179">
        <v>15.354267</v>
      </c>
    </row>
    <row r="180" spans="1:5" x14ac:dyDescent="0.3">
      <c r="A180" t="s">
        <v>20</v>
      </c>
      <c r="B180" t="s">
        <v>154</v>
      </c>
      <c r="C180">
        <v>5</v>
      </c>
      <c r="D180">
        <v>15.251284999999999</v>
      </c>
      <c r="E180">
        <v>15.251284999999999</v>
      </c>
    </row>
    <row r="181" spans="1:5" x14ac:dyDescent="0.3">
      <c r="A181" t="s">
        <v>20</v>
      </c>
      <c r="B181" t="s">
        <v>155</v>
      </c>
      <c r="C181">
        <v>6</v>
      </c>
      <c r="D181">
        <v>15.249921000000001</v>
      </c>
      <c r="E181">
        <v>15.249921000000001</v>
      </c>
    </row>
    <row r="182" spans="1:5" x14ac:dyDescent="0.3">
      <c r="A182" t="s">
        <v>20</v>
      </c>
      <c r="B182" t="s">
        <v>156</v>
      </c>
      <c r="C182">
        <v>7</v>
      </c>
      <c r="D182">
        <v>15.251078</v>
      </c>
      <c r="E182">
        <v>15.251078</v>
      </c>
    </row>
    <row r="183" spans="1:5" x14ac:dyDescent="0.3">
      <c r="A183" t="s">
        <v>20</v>
      </c>
      <c r="B183" t="s">
        <v>157</v>
      </c>
      <c r="C183">
        <v>8</v>
      </c>
      <c r="D183">
        <v>15.334256</v>
      </c>
      <c r="E183">
        <v>15.334256</v>
      </c>
    </row>
    <row r="184" spans="1:5" x14ac:dyDescent="0.3">
      <c r="A184" t="s">
        <v>20</v>
      </c>
      <c r="B184" t="s">
        <v>158</v>
      </c>
      <c r="C184">
        <v>9</v>
      </c>
      <c r="D184">
        <v>15.368795</v>
      </c>
      <c r="E184">
        <v>15.368795</v>
      </c>
    </row>
    <row r="185" spans="1:5" x14ac:dyDescent="0.3">
      <c r="A185" t="s">
        <v>20</v>
      </c>
      <c r="B185" t="s">
        <v>159</v>
      </c>
      <c r="C185">
        <v>10</v>
      </c>
      <c r="D185">
        <v>15.317028000000001</v>
      </c>
      <c r="E185">
        <v>15.317028000000001</v>
      </c>
    </row>
    <row r="186" spans="1:5" x14ac:dyDescent="0.3">
      <c r="A186" t="s">
        <v>20</v>
      </c>
      <c r="B186" t="s">
        <v>160</v>
      </c>
      <c r="C186">
        <v>11</v>
      </c>
      <c r="D186">
        <v>15.335188</v>
      </c>
      <c r="E186">
        <v>15.335188</v>
      </c>
    </row>
    <row r="187" spans="1:5" x14ac:dyDescent="0.3">
      <c r="A187" t="s">
        <v>20</v>
      </c>
      <c r="B187" t="s">
        <v>161</v>
      </c>
      <c r="C187">
        <v>12</v>
      </c>
      <c r="D187">
        <v>15.205819</v>
      </c>
      <c r="E187">
        <v>15.205819</v>
      </c>
    </row>
    <row r="188" spans="1:5" x14ac:dyDescent="0.3">
      <c r="A188" t="s">
        <v>20</v>
      </c>
      <c r="B188" t="s">
        <v>162</v>
      </c>
      <c r="C188">
        <v>13</v>
      </c>
      <c r="D188">
        <v>15.318165</v>
      </c>
      <c r="E188">
        <v>15.318165</v>
      </c>
    </row>
    <row r="189" spans="1:5" x14ac:dyDescent="0.3">
      <c r="A189" t="s">
        <v>20</v>
      </c>
      <c r="B189" t="s">
        <v>163</v>
      </c>
      <c r="C189">
        <v>14</v>
      </c>
      <c r="D189">
        <v>15.208295</v>
      </c>
      <c r="E189">
        <v>15.208295</v>
      </c>
    </row>
    <row r="190" spans="1:5" x14ac:dyDescent="0.3">
      <c r="A190" t="s">
        <v>20</v>
      </c>
      <c r="B190" t="s">
        <v>164</v>
      </c>
      <c r="C190">
        <v>15</v>
      </c>
      <c r="D190">
        <v>15.373723</v>
      </c>
      <c r="E190">
        <v>15.373723</v>
      </c>
    </row>
    <row r="191" spans="1:5" x14ac:dyDescent="0.3">
      <c r="A191" t="s">
        <v>20</v>
      </c>
      <c r="B191" t="s">
        <v>165</v>
      </c>
      <c r="C191">
        <v>16</v>
      </c>
      <c r="D191">
        <v>15.206099999999999</v>
      </c>
      <c r="E191">
        <v>15.206099999999999</v>
      </c>
    </row>
    <row r="192" spans="1:5" x14ac:dyDescent="0.3">
      <c r="A192" t="s">
        <v>20</v>
      </c>
      <c r="B192" t="s">
        <v>166</v>
      </c>
      <c r="C192">
        <v>17</v>
      </c>
      <c r="D192">
        <v>15.207117999999999</v>
      </c>
      <c r="E192">
        <v>15.207117999999999</v>
      </c>
    </row>
    <row r="193" spans="1:10" x14ac:dyDescent="0.3">
      <c r="A193" t="s">
        <v>20</v>
      </c>
      <c r="B193" t="s">
        <v>167</v>
      </c>
      <c r="C193">
        <v>18</v>
      </c>
      <c r="D193">
        <v>15.206429</v>
      </c>
      <c r="E193">
        <v>15.206429</v>
      </c>
    </row>
    <row r="194" spans="1:10" x14ac:dyDescent="0.3">
      <c r="A194" t="s">
        <v>20</v>
      </c>
      <c r="B194" t="s">
        <v>168</v>
      </c>
      <c r="C194">
        <v>19</v>
      </c>
      <c r="D194">
        <v>15.316598000000001</v>
      </c>
      <c r="E194">
        <v>15.316598000000001</v>
      </c>
    </row>
    <row r="195" spans="1:10" x14ac:dyDescent="0.3">
      <c r="A195" t="s">
        <v>20</v>
      </c>
      <c r="B195" t="s">
        <v>169</v>
      </c>
      <c r="C195">
        <v>20</v>
      </c>
      <c r="D195">
        <v>15.334546</v>
      </c>
      <c r="E195">
        <v>15.334546</v>
      </c>
    </row>
    <row r="196" spans="1:10" x14ac:dyDescent="0.3">
      <c r="A196" t="s">
        <v>20</v>
      </c>
      <c r="B196" t="s">
        <v>170</v>
      </c>
      <c r="C196">
        <v>21</v>
      </c>
      <c r="D196">
        <v>15.317276</v>
      </c>
      <c r="E196">
        <v>15.317276</v>
      </c>
    </row>
    <row r="197" spans="1:10" x14ac:dyDescent="0.3">
      <c r="A197" t="s">
        <v>20</v>
      </c>
      <c r="B197" t="s">
        <v>171</v>
      </c>
      <c r="C197">
        <v>22</v>
      </c>
      <c r="D197">
        <v>15.250325</v>
      </c>
      <c r="E197">
        <v>15.250325</v>
      </c>
    </row>
    <row r="198" spans="1:10" x14ac:dyDescent="0.3">
      <c r="A198" t="s">
        <v>20</v>
      </c>
      <c r="B198" t="s">
        <v>172</v>
      </c>
      <c r="C198">
        <v>23</v>
      </c>
      <c r="D198">
        <v>15.317515</v>
      </c>
      <c r="E198">
        <v>15.317515</v>
      </c>
    </row>
    <row r="199" spans="1:10" x14ac:dyDescent="0.3">
      <c r="A199" t="s">
        <v>20</v>
      </c>
      <c r="B199" t="s">
        <v>173</v>
      </c>
      <c r="C199">
        <v>24</v>
      </c>
      <c r="D199">
        <v>15.206846000000001</v>
      </c>
      <c r="E199">
        <v>15.206846000000001</v>
      </c>
    </row>
    <row r="200" spans="1:10" x14ac:dyDescent="0.3">
      <c r="A200" t="s">
        <v>20</v>
      </c>
      <c r="B200" t="s">
        <v>174</v>
      </c>
      <c r="C200">
        <v>25</v>
      </c>
      <c r="D200">
        <v>15.207599999999999</v>
      </c>
      <c r="E200">
        <v>15.207599999999999</v>
      </c>
    </row>
    <row r="201" spans="1:10" x14ac:dyDescent="0.3">
      <c r="A201" t="s">
        <v>20</v>
      </c>
      <c r="B201" t="s">
        <v>175</v>
      </c>
      <c r="C201">
        <v>26</v>
      </c>
      <c r="D201">
        <v>15.335651</v>
      </c>
      <c r="E201">
        <v>15.335651</v>
      </c>
    </row>
    <row r="202" spans="1:10" x14ac:dyDescent="0.3">
      <c r="A202" t="s">
        <v>20</v>
      </c>
      <c r="B202" t="s">
        <v>176</v>
      </c>
      <c r="C202">
        <v>27</v>
      </c>
      <c r="D202">
        <v>15.381145999999999</v>
      </c>
      <c r="E202">
        <v>15.381145999999999</v>
      </c>
    </row>
    <row r="203" spans="1:10" x14ac:dyDescent="0.3">
      <c r="A203" t="s">
        <v>20</v>
      </c>
      <c r="B203" t="s">
        <v>177</v>
      </c>
      <c r="C203">
        <v>28</v>
      </c>
      <c r="D203">
        <v>15.317095</v>
      </c>
      <c r="E203">
        <v>15.317095</v>
      </c>
    </row>
    <row r="204" spans="1:10" x14ac:dyDescent="0.3">
      <c r="A204" t="s">
        <v>20</v>
      </c>
      <c r="B204" t="s">
        <v>178</v>
      </c>
      <c r="C204">
        <v>29</v>
      </c>
      <c r="D204">
        <v>15.374382000000001</v>
      </c>
      <c r="E204">
        <v>15.374382000000001</v>
      </c>
    </row>
    <row r="205" spans="1:10" x14ac:dyDescent="0.3">
      <c r="A205" t="s">
        <v>20</v>
      </c>
      <c r="B205" t="s">
        <v>179</v>
      </c>
      <c r="C205">
        <v>30</v>
      </c>
      <c r="D205">
        <v>15.33526</v>
      </c>
      <c r="E205">
        <v>15.33526</v>
      </c>
    </row>
    <row r="206" spans="1:10" x14ac:dyDescent="0.3">
      <c r="D206">
        <f>AVERAGE(D176:D205)</f>
        <v>15.291390866666664</v>
      </c>
      <c r="E206" t="s">
        <v>342</v>
      </c>
      <c r="F206" s="1">
        <f>_xlfn.STDEV.S(D176:D205)</f>
        <v>6.2043300590148759E-2</v>
      </c>
      <c r="G206" t="s">
        <v>343</v>
      </c>
      <c r="H206" s="1">
        <f>F206/D206*100</f>
        <v>0.40574007381758492</v>
      </c>
      <c r="I206" t="s">
        <v>344</v>
      </c>
      <c r="J206" s="1">
        <f>_xlfn.T.INV.2T(0.05,29)*F206/SQRT(30)</f>
        <v>2.3167349185089007E-2</v>
      </c>
    </row>
    <row r="210" spans="1:14" x14ac:dyDescent="0.3">
      <c r="B210" t="s">
        <v>718</v>
      </c>
    </row>
    <row r="212" spans="1:14" x14ac:dyDescent="0.3">
      <c r="A212" t="s">
        <v>181</v>
      </c>
      <c r="B212" t="s">
        <v>21</v>
      </c>
      <c r="C212" t="s">
        <v>716</v>
      </c>
      <c r="D212" t="s">
        <v>338</v>
      </c>
      <c r="E212" t="s">
        <v>339</v>
      </c>
      <c r="F212" t="s">
        <v>340</v>
      </c>
      <c r="H212" t="s">
        <v>21</v>
      </c>
      <c r="I212" t="s">
        <v>716</v>
      </c>
      <c r="J212" t="s">
        <v>712</v>
      </c>
      <c r="K212" t="s">
        <v>723</v>
      </c>
      <c r="M212" t="s">
        <v>21</v>
      </c>
      <c r="N212" t="s">
        <v>712</v>
      </c>
    </row>
    <row r="213" spans="1:14" x14ac:dyDescent="0.3">
      <c r="B213" t="s">
        <v>180</v>
      </c>
      <c r="H213" t="s">
        <v>180</v>
      </c>
      <c r="M213" t="s">
        <v>180</v>
      </c>
    </row>
    <row r="214" spans="1:14" x14ac:dyDescent="0.3">
      <c r="A214" t="s">
        <v>180</v>
      </c>
      <c r="B214" t="s">
        <v>14</v>
      </c>
      <c r="C214" s="2">
        <v>400.857012</v>
      </c>
      <c r="D214" s="2">
        <v>7.0781252922715936</v>
      </c>
      <c r="E214" s="2">
        <v>1.7833961021418785</v>
      </c>
      <c r="F214" s="2">
        <v>2.6430154208769348</v>
      </c>
      <c r="H214" t="s">
        <v>14</v>
      </c>
      <c r="I214" s="2">
        <v>400.857012</v>
      </c>
      <c r="J214" s="2">
        <v>707.04466528063381</v>
      </c>
      <c r="K214">
        <f>CORREL(I214:I219,J214:J219)</f>
        <v>0.99992816317166588</v>
      </c>
      <c r="M214" t="s">
        <v>16</v>
      </c>
      <c r="N214">
        <v>0.20597528181818131</v>
      </c>
    </row>
    <row r="215" spans="1:14" x14ac:dyDescent="0.3">
      <c r="A215" t="s">
        <v>180</v>
      </c>
      <c r="B215" t="s">
        <v>15</v>
      </c>
      <c r="C215" s="2">
        <v>46.964979466666669</v>
      </c>
      <c r="D215" s="2">
        <v>9.4198757922382664E-2</v>
      </c>
      <c r="E215" s="2">
        <v>0.20057233920274595</v>
      </c>
      <c r="F215" s="2">
        <v>3.5174394283208399E-2</v>
      </c>
      <c r="H215" t="s">
        <v>15</v>
      </c>
      <c r="I215" s="2">
        <v>46.964979466666669</v>
      </c>
      <c r="J215" s="2">
        <v>74.386478576778941</v>
      </c>
      <c r="M215" t="s">
        <v>17</v>
      </c>
      <c r="N215">
        <v>0.20075312212121155</v>
      </c>
    </row>
    <row r="216" spans="1:14" x14ac:dyDescent="0.3">
      <c r="A216" t="s">
        <v>180</v>
      </c>
      <c r="B216" t="s">
        <v>16</v>
      </c>
      <c r="C216" s="2">
        <v>0.13732106666666669</v>
      </c>
      <c r="D216" s="2">
        <v>5.4484049759181052E-4</v>
      </c>
      <c r="E216" s="2">
        <v>0.39676395677464188</v>
      </c>
      <c r="F216" s="2">
        <v>2.0344678535511897E-4</v>
      </c>
      <c r="H216" t="s">
        <v>16</v>
      </c>
      <c r="I216" s="2">
        <v>0.13732106666666669</v>
      </c>
      <c r="J216" s="2">
        <v>0.20597528181818131</v>
      </c>
      <c r="M216" t="s">
        <v>19</v>
      </c>
      <c r="N216">
        <v>0.32223790588235252</v>
      </c>
    </row>
    <row r="217" spans="1:14" x14ac:dyDescent="0.3">
      <c r="A217" t="s">
        <v>180</v>
      </c>
      <c r="B217" t="s">
        <v>17</v>
      </c>
      <c r="C217" s="2">
        <v>0.13205780000000003</v>
      </c>
      <c r="D217" s="2">
        <v>3.9456614322482187E-4</v>
      </c>
      <c r="E217" s="2">
        <v>0.29878291416699487</v>
      </c>
      <c r="F217" s="2">
        <v>1.47333419237124E-4</v>
      </c>
      <c r="H217" t="s">
        <v>17</v>
      </c>
      <c r="I217" s="2">
        <v>0.13205780000000003</v>
      </c>
      <c r="J217" s="2">
        <v>0.20075312212121155</v>
      </c>
      <c r="M217" t="s">
        <v>15</v>
      </c>
      <c r="N217">
        <v>74.386478576778941</v>
      </c>
    </row>
    <row r="218" spans="1:14" x14ac:dyDescent="0.3">
      <c r="A218" t="s">
        <v>180</v>
      </c>
      <c r="B218" t="s">
        <v>19</v>
      </c>
      <c r="C218" s="2">
        <v>0.20929439999999999</v>
      </c>
      <c r="D218" s="2">
        <v>6.0942672892730419E-4</v>
      </c>
      <c r="E218" s="2">
        <v>0.2911815743408826</v>
      </c>
      <c r="F218" s="2">
        <v>2.2756368048587063E-4</v>
      </c>
      <c r="H218" t="s">
        <v>19</v>
      </c>
      <c r="I218" s="2">
        <v>0.20929439999999999</v>
      </c>
      <c r="J218" s="2">
        <v>0.32223790588235252</v>
      </c>
      <c r="M218" t="s">
        <v>20</v>
      </c>
      <c r="N218">
        <v>23.660970111957351</v>
      </c>
    </row>
    <row r="219" spans="1:14" x14ac:dyDescent="0.3">
      <c r="A219" t="s">
        <v>180</v>
      </c>
      <c r="B219" t="s">
        <v>20</v>
      </c>
      <c r="C219" s="2">
        <v>15.291390866666664</v>
      </c>
      <c r="D219" s="2">
        <v>6.2043300590148759E-2</v>
      </c>
      <c r="E219" s="2">
        <v>0.40574007381758492</v>
      </c>
      <c r="F219" s="2">
        <v>2.3167349185089007E-2</v>
      </c>
      <c r="H219" t="s">
        <v>20</v>
      </c>
      <c r="I219" s="2">
        <v>15.291390866666664</v>
      </c>
      <c r="J219" s="2">
        <v>23.660970111957351</v>
      </c>
      <c r="M219" t="s">
        <v>14</v>
      </c>
      <c r="N219">
        <v>707.04466528063381</v>
      </c>
    </row>
    <row r="220" spans="1:14" x14ac:dyDescent="0.3">
      <c r="B220" t="s">
        <v>717</v>
      </c>
      <c r="C220" s="2"/>
      <c r="D220" s="2"/>
      <c r="E220" s="2"/>
      <c r="F220" s="2"/>
      <c r="H220" t="s">
        <v>717</v>
      </c>
      <c r="I220" s="2"/>
      <c r="J220" s="2"/>
      <c r="M220" t="s">
        <v>717</v>
      </c>
    </row>
    <row r="221" spans="1:14" x14ac:dyDescent="0.3">
      <c r="A221" t="s">
        <v>337</v>
      </c>
      <c r="B221" t="s">
        <v>182</v>
      </c>
      <c r="C221" s="2">
        <v>0.81688620000000012</v>
      </c>
      <c r="D221" s="2">
        <v>3.1814700082476513E-2</v>
      </c>
      <c r="E221" s="2">
        <v>3.8946306208228894</v>
      </c>
      <c r="F221" s="2">
        <v>1.1879804249915167E-2</v>
      </c>
      <c r="H221" t="s">
        <v>182</v>
      </c>
      <c r="I221" s="2">
        <v>0.81688620000000012</v>
      </c>
      <c r="J221" s="2">
        <v>1.291673864544419</v>
      </c>
      <c r="K221">
        <f>CORREL(I221:I225,J221:J225)</f>
        <v>0.99991244371342436</v>
      </c>
      <c r="M221" t="s">
        <v>182</v>
      </c>
      <c r="N221">
        <v>1.291673864544419</v>
      </c>
    </row>
    <row r="222" spans="1:14" x14ac:dyDescent="0.3">
      <c r="A222" t="s">
        <v>337</v>
      </c>
      <c r="B222" t="s">
        <v>213</v>
      </c>
      <c r="C222" s="2">
        <v>19.87902433333333</v>
      </c>
      <c r="D222" s="2">
        <v>0.16479974935772132</v>
      </c>
      <c r="E222" s="2">
        <v>0.82901326842979706</v>
      </c>
      <c r="F222" s="2">
        <v>6.1537237746369933E-2</v>
      </c>
      <c r="H222" t="s">
        <v>213</v>
      </c>
      <c r="I222" s="2">
        <v>19.87902433333333</v>
      </c>
      <c r="J222" s="2">
        <v>30.361428073043587</v>
      </c>
      <c r="M222" t="s">
        <v>213</v>
      </c>
      <c r="N222">
        <v>30.361428073043587</v>
      </c>
    </row>
    <row r="223" spans="1:14" x14ac:dyDescent="0.3">
      <c r="A223" t="s">
        <v>337</v>
      </c>
      <c r="B223" t="s">
        <v>244</v>
      </c>
      <c r="C223" s="2">
        <v>1.3883186666666667</v>
      </c>
      <c r="D223" s="2">
        <v>2.9661578366557018E-2</v>
      </c>
      <c r="E223" s="2">
        <v>2.1365108082695485</v>
      </c>
      <c r="F223" s="2">
        <v>1.1075815388003698E-2</v>
      </c>
      <c r="H223" t="s">
        <v>244</v>
      </c>
      <c r="I223" s="2">
        <v>1.3883186666666667</v>
      </c>
      <c r="J223" s="2">
        <v>2.2178774016195701</v>
      </c>
      <c r="M223" t="s">
        <v>244</v>
      </c>
      <c r="N223">
        <v>2.2178774016195701</v>
      </c>
    </row>
    <row r="224" spans="1:14" x14ac:dyDescent="0.3">
      <c r="A224" t="s">
        <v>337</v>
      </c>
      <c r="B224" t="s">
        <v>275</v>
      </c>
      <c r="C224" s="2">
        <v>2.3927399000000005</v>
      </c>
      <c r="D224" s="2">
        <v>3.9817511355882892E-2</v>
      </c>
      <c r="E224" s="2">
        <v>1.6640969357297415</v>
      </c>
      <c r="F224" s="2">
        <v>1.4868103090722017E-2</v>
      </c>
      <c r="H224" t="s">
        <v>275</v>
      </c>
      <c r="I224" s="2">
        <v>2.3927399000000005</v>
      </c>
      <c r="J224" s="2">
        <v>3.8487147226592118</v>
      </c>
      <c r="M224" t="s">
        <v>275</v>
      </c>
      <c r="N224">
        <v>3.8487147226592118</v>
      </c>
    </row>
    <row r="225" spans="1:14" x14ac:dyDescent="0.3">
      <c r="A225" t="s">
        <v>337</v>
      </c>
      <c r="B225" t="s">
        <v>306</v>
      </c>
      <c r="C225" s="2">
        <v>75.145568100000006</v>
      </c>
      <c r="D225" s="2">
        <v>0.55946866867063483</v>
      </c>
      <c r="E225" s="2">
        <v>0.74451319328123466</v>
      </c>
      <c r="F225" s="2">
        <v>0.20890903420549933</v>
      </c>
      <c r="H225" t="s">
        <v>306</v>
      </c>
      <c r="I225" s="2">
        <v>75.145568100000006</v>
      </c>
      <c r="J225" s="2">
        <v>120.50303490061819</v>
      </c>
      <c r="M225" t="s">
        <v>306</v>
      </c>
      <c r="N225">
        <v>120.50303490061819</v>
      </c>
    </row>
    <row r="229" spans="1:14" x14ac:dyDescent="0.3">
      <c r="B229" t="s">
        <v>21</v>
      </c>
      <c r="C229" t="s">
        <v>716</v>
      </c>
    </row>
    <row r="230" spans="1:14" x14ac:dyDescent="0.3">
      <c r="B230" t="s">
        <v>17</v>
      </c>
      <c r="C230" s="2">
        <v>0.13205780000000003</v>
      </c>
    </row>
    <row r="231" spans="1:14" x14ac:dyDescent="0.3">
      <c r="B231" t="s">
        <v>16</v>
      </c>
      <c r="C231" s="2">
        <v>0.13732106666666669</v>
      </c>
    </row>
    <row r="232" spans="1:14" x14ac:dyDescent="0.3">
      <c r="B232" t="s">
        <v>19</v>
      </c>
      <c r="C232" s="2">
        <v>0.20929439999999999</v>
      </c>
    </row>
    <row r="233" spans="1:14" x14ac:dyDescent="0.3">
      <c r="B233" t="s">
        <v>20</v>
      </c>
      <c r="C233" s="2">
        <v>15.291390866666664</v>
      </c>
    </row>
    <row r="234" spans="1:14" x14ac:dyDescent="0.3">
      <c r="B234" t="s">
        <v>15</v>
      </c>
      <c r="C234" s="2">
        <v>46.964979466666669</v>
      </c>
    </row>
    <row r="235" spans="1:14" x14ac:dyDescent="0.3">
      <c r="B235" t="s">
        <v>25</v>
      </c>
      <c r="C235" s="2">
        <v>400.857012</v>
      </c>
    </row>
    <row r="236" spans="1:14" x14ac:dyDescent="0.3">
      <c r="B236" t="s">
        <v>182</v>
      </c>
      <c r="C236" s="16">
        <v>0.81688620000000012</v>
      </c>
    </row>
    <row r="237" spans="1:14" x14ac:dyDescent="0.3">
      <c r="B237" t="s">
        <v>244</v>
      </c>
      <c r="C237" s="16">
        <v>1.3883186666666667</v>
      </c>
    </row>
    <row r="238" spans="1:14" x14ac:dyDescent="0.3">
      <c r="B238" t="s">
        <v>275</v>
      </c>
      <c r="C238" s="16">
        <v>2.3927399000000005</v>
      </c>
    </row>
    <row r="239" spans="1:14" x14ac:dyDescent="0.3">
      <c r="B239" t="s">
        <v>213</v>
      </c>
      <c r="C239" s="16">
        <v>19.87902433333333</v>
      </c>
    </row>
    <row r="240" spans="1:14" x14ac:dyDescent="0.3">
      <c r="B240" t="s">
        <v>726</v>
      </c>
      <c r="C240" s="16">
        <v>75.145568100000006</v>
      </c>
    </row>
    <row r="245" spans="1:3" x14ac:dyDescent="0.3">
      <c r="A245" t="s">
        <v>21</v>
      </c>
      <c r="B245" t="s">
        <v>716</v>
      </c>
      <c r="C245" t="s">
        <v>712</v>
      </c>
    </row>
    <row r="246" spans="1:3" x14ac:dyDescent="0.3">
      <c r="A246" t="s">
        <v>25</v>
      </c>
      <c r="B246" s="2">
        <v>400.857012</v>
      </c>
      <c r="C246" s="2">
        <v>707.04466528063381</v>
      </c>
    </row>
    <row r="247" spans="1:3" x14ac:dyDescent="0.3">
      <c r="A247" t="s">
        <v>15</v>
      </c>
      <c r="B247" s="2">
        <v>46.964979466666669</v>
      </c>
      <c r="C247" s="2">
        <v>74.386478576778941</v>
      </c>
    </row>
    <row r="248" spans="1:3" x14ac:dyDescent="0.3">
      <c r="A248" t="s">
        <v>16</v>
      </c>
      <c r="B248" s="2">
        <v>0.13732106666666669</v>
      </c>
      <c r="C248" s="2">
        <v>0.20597528181818131</v>
      </c>
    </row>
    <row r="249" spans="1:3" x14ac:dyDescent="0.3">
      <c r="A249" t="s">
        <v>17</v>
      </c>
      <c r="B249" s="2">
        <v>0.13205780000000003</v>
      </c>
      <c r="C249" s="2">
        <v>0.20075312212121155</v>
      </c>
    </row>
    <row r="250" spans="1:3" x14ac:dyDescent="0.3">
      <c r="A250" t="s">
        <v>19</v>
      </c>
      <c r="B250" s="2">
        <v>0.20929439999999999</v>
      </c>
      <c r="C250" s="2">
        <v>0.32223790588235252</v>
      </c>
    </row>
    <row r="251" spans="1:3" x14ac:dyDescent="0.3">
      <c r="A251" t="s">
        <v>20</v>
      </c>
      <c r="B251" s="2">
        <v>15.291390866666664</v>
      </c>
      <c r="C251" s="2">
        <v>23.660970111957351</v>
      </c>
    </row>
    <row r="252" spans="1:3" x14ac:dyDescent="0.3">
      <c r="A252" t="s">
        <v>182</v>
      </c>
      <c r="B252" s="2">
        <v>0.81688620000000012</v>
      </c>
      <c r="C252" s="2">
        <v>1.291673864544419</v>
      </c>
    </row>
    <row r="253" spans="1:3" x14ac:dyDescent="0.3">
      <c r="A253" t="s">
        <v>213</v>
      </c>
      <c r="B253" s="2">
        <v>19.87902433333333</v>
      </c>
      <c r="C253" s="2">
        <v>30.361428073043587</v>
      </c>
    </row>
    <row r="254" spans="1:3" x14ac:dyDescent="0.3">
      <c r="A254" t="s">
        <v>244</v>
      </c>
      <c r="B254" s="2">
        <v>1.3883186666666667</v>
      </c>
      <c r="C254" s="2">
        <v>2.2178774016195701</v>
      </c>
    </row>
    <row r="255" spans="1:3" x14ac:dyDescent="0.3">
      <c r="A255" t="s">
        <v>275</v>
      </c>
      <c r="B255" s="2">
        <v>2.3927399000000005</v>
      </c>
      <c r="C255" s="2">
        <v>3.8487147226592118</v>
      </c>
    </row>
    <row r="256" spans="1:3" x14ac:dyDescent="0.3">
      <c r="A256" t="s">
        <v>726</v>
      </c>
      <c r="B256" s="2">
        <v>75.145568100000006</v>
      </c>
      <c r="C256" s="2">
        <v>120.50303490061819</v>
      </c>
    </row>
    <row r="259" spans="4:4" x14ac:dyDescent="0.3">
      <c r="D259" t="s">
        <v>724</v>
      </c>
    </row>
    <row r="273" spans="2:4" x14ac:dyDescent="0.3">
      <c r="B273" t="s">
        <v>725</v>
      </c>
    </row>
    <row r="274" spans="2:4" x14ac:dyDescent="0.3">
      <c r="D274" t="s">
        <v>346</v>
      </c>
    </row>
    <row r="275" spans="2:4" x14ac:dyDescent="0.3">
      <c r="B275" t="s">
        <v>21</v>
      </c>
      <c r="C275" t="s">
        <v>712</v>
      </c>
      <c r="D275" t="s">
        <v>410</v>
      </c>
    </row>
    <row r="276" spans="2:4" x14ac:dyDescent="0.3">
      <c r="B276" t="s">
        <v>17</v>
      </c>
      <c r="C276" s="2">
        <v>0.20597528181818131</v>
      </c>
      <c r="D276" s="2">
        <v>4.8549514833664409</v>
      </c>
    </row>
    <row r="277" spans="2:4" x14ac:dyDescent="0.3">
      <c r="B277" t="s">
        <v>16</v>
      </c>
      <c r="C277" s="2">
        <v>0.20075312212121155</v>
      </c>
      <c r="D277" s="2">
        <v>4.9812425801089955</v>
      </c>
    </row>
    <row r="278" spans="2:4" x14ac:dyDescent="0.3">
      <c r="B278" t="s">
        <v>19</v>
      </c>
      <c r="C278" s="2">
        <v>0.32223790588235252</v>
      </c>
      <c r="D278" s="2">
        <v>3.1032972277479209</v>
      </c>
    </row>
    <row r="279" spans="2:4" x14ac:dyDescent="0.3">
      <c r="B279" t="s">
        <v>20</v>
      </c>
      <c r="C279" s="2">
        <v>74.386478576778941</v>
      </c>
      <c r="D279" s="2">
        <v>1.3443303395089975E-2</v>
      </c>
    </row>
    <row r="280" spans="2:4" x14ac:dyDescent="0.3">
      <c r="B280" t="s">
        <v>15</v>
      </c>
      <c r="C280" s="2">
        <v>23.660970111957351</v>
      </c>
      <c r="D280" s="2">
        <v>4.2263693976547403E-2</v>
      </c>
    </row>
    <row r="281" spans="2:4" x14ac:dyDescent="0.3">
      <c r="B281" t="s">
        <v>25</v>
      </c>
      <c r="C281" s="2">
        <v>707.04466528063381</v>
      </c>
      <c r="D281" s="2">
        <v>1.4143378050990442E-3</v>
      </c>
    </row>
    <row r="282" spans="2:4" x14ac:dyDescent="0.3">
      <c r="B282" t="s">
        <v>182</v>
      </c>
      <c r="C282" s="2">
        <v>1.291673864544419</v>
      </c>
      <c r="D282" s="2">
        <v>0.77418923417847885</v>
      </c>
    </row>
    <row r="283" spans="2:4" x14ac:dyDescent="0.3">
      <c r="B283" t="s">
        <v>244</v>
      </c>
      <c r="C283" s="2">
        <v>30.361428073043587</v>
      </c>
      <c r="D283" s="2">
        <v>3.2936527148663693E-2</v>
      </c>
    </row>
    <row r="284" spans="2:4" x14ac:dyDescent="0.3">
      <c r="B284" t="s">
        <v>275</v>
      </c>
      <c r="C284" s="2">
        <v>2.2178774016195701</v>
      </c>
      <c r="D284" s="2">
        <v>0.45088154975102129</v>
      </c>
    </row>
    <row r="285" spans="2:4" x14ac:dyDescent="0.3">
      <c r="B285" t="s">
        <v>213</v>
      </c>
      <c r="C285" s="2">
        <v>3.8487147226592118</v>
      </c>
      <c r="D285" s="2">
        <v>0.25982699993650477</v>
      </c>
    </row>
    <row r="286" spans="2:4" x14ac:dyDescent="0.3">
      <c r="B286" t="s">
        <v>726</v>
      </c>
      <c r="C286" s="2">
        <v>120.50303490061819</v>
      </c>
      <c r="D286" s="2">
        <v>8.2985461803905987E-3</v>
      </c>
    </row>
  </sheetData>
  <sortState xmlns:xlrd2="http://schemas.microsoft.com/office/spreadsheetml/2017/richdata2" ref="B237:C240">
    <sortCondition ref="C237:C24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2360-266C-48AC-A106-A3EF4DA8191D}">
  <dimension ref="A4:O63"/>
  <sheetViews>
    <sheetView topLeftCell="A27" zoomScale="89" workbookViewId="0">
      <selection activeCell="J39" sqref="J39"/>
    </sheetView>
  </sheetViews>
  <sheetFormatPr defaultRowHeight="14.4" x14ac:dyDescent="0.3"/>
  <cols>
    <col min="1" max="1" width="24.44140625" bestFit="1" customWidth="1"/>
    <col min="2" max="2" width="21.44140625" bestFit="1" customWidth="1"/>
    <col min="3" max="3" width="13.6640625" bestFit="1" customWidth="1"/>
    <col min="5" max="5" width="11.5546875" bestFit="1" customWidth="1"/>
    <col min="9" max="9" width="8.109375" customWidth="1"/>
    <col min="10" max="10" width="24.44140625" bestFit="1" customWidth="1"/>
    <col min="11" max="13" width="12" bestFit="1" customWidth="1"/>
    <col min="14" max="14" width="12" customWidth="1"/>
    <col min="15" max="15" width="14.88671875" bestFit="1" customWidth="1"/>
  </cols>
  <sheetData>
    <row r="4" spans="1:15" x14ac:dyDescent="0.3">
      <c r="A4" s="11"/>
      <c r="B4" t="s">
        <v>720</v>
      </c>
    </row>
    <row r="6" spans="1:15" x14ac:dyDescent="0.3">
      <c r="B6" t="s">
        <v>21</v>
      </c>
      <c r="C6" t="s">
        <v>712</v>
      </c>
      <c r="D6" t="s">
        <v>713</v>
      </c>
      <c r="E6" t="s">
        <v>339</v>
      </c>
      <c r="F6" t="s">
        <v>410</v>
      </c>
      <c r="G6" t="s">
        <v>412</v>
      </c>
      <c r="J6" t="s">
        <v>21</v>
      </c>
      <c r="K6" t="s">
        <v>712</v>
      </c>
      <c r="L6" t="s">
        <v>713</v>
      </c>
      <c r="M6" t="s">
        <v>339</v>
      </c>
      <c r="N6" t="s">
        <v>410</v>
      </c>
      <c r="O6" t="s">
        <v>412</v>
      </c>
    </row>
    <row r="7" spans="1:15" x14ac:dyDescent="0.3">
      <c r="B7" t="s">
        <v>180</v>
      </c>
    </row>
    <row r="8" spans="1:15" x14ac:dyDescent="0.3">
      <c r="B8" t="s">
        <v>16</v>
      </c>
      <c r="C8" s="2">
        <v>0.20597528181818131</v>
      </c>
      <c r="D8" s="2">
        <v>6.0343542060396175E-4</v>
      </c>
      <c r="E8" s="2">
        <v>0.29296496903770564</v>
      </c>
      <c r="F8" s="2">
        <v>4.8549514833664409</v>
      </c>
      <c r="G8" s="2">
        <v>1.0581611144094204E-4</v>
      </c>
      <c r="H8" s="2"/>
      <c r="I8" s="2"/>
      <c r="J8" s="2" t="s">
        <v>182</v>
      </c>
      <c r="K8" s="2">
        <v>1.291673864544419</v>
      </c>
      <c r="L8" s="2">
        <v>2.1084343832794724E-2</v>
      </c>
      <c r="M8" s="2">
        <v>1.6323272005067082</v>
      </c>
      <c r="N8" s="2">
        <v>0.77418923417847885</v>
      </c>
      <c r="O8" s="2">
        <v>3.6972693356931824E-3</v>
      </c>
    </row>
    <row r="9" spans="1:15" x14ac:dyDescent="0.3">
      <c r="B9" t="s">
        <v>17</v>
      </c>
      <c r="C9" s="2">
        <v>0.20075312212121155</v>
      </c>
      <c r="D9" s="2">
        <v>3.6394684249297145E-3</v>
      </c>
      <c r="E9" s="2">
        <v>1.8129075087222113</v>
      </c>
      <c r="F9" s="2">
        <v>4.9812425801089955</v>
      </c>
      <c r="G9" s="2">
        <v>6.3820316688188814E-4</v>
      </c>
      <c r="H9" s="2"/>
      <c r="I9" s="2"/>
      <c r="J9" s="2" t="s">
        <v>213</v>
      </c>
      <c r="K9" s="2">
        <v>30.361428073043587</v>
      </c>
      <c r="L9" s="2">
        <v>0.31367334921630519</v>
      </c>
      <c r="M9" s="2">
        <v>1.0331310782275103</v>
      </c>
      <c r="N9" s="2">
        <v>3.2936527148663693E-2</v>
      </c>
      <c r="O9" s="2">
        <v>5.5004550517610384E-2</v>
      </c>
    </row>
    <row r="10" spans="1:15" x14ac:dyDescent="0.3">
      <c r="B10" t="s">
        <v>19</v>
      </c>
      <c r="C10" s="2">
        <v>0.32223790588235252</v>
      </c>
      <c r="D10" s="2">
        <v>6.1948781099987842E-4</v>
      </c>
      <c r="E10" s="2">
        <v>0.19224548064995506</v>
      </c>
      <c r="F10" s="2">
        <v>3.1032972277479209</v>
      </c>
      <c r="G10" s="2">
        <v>1.0863099680071716E-4</v>
      </c>
      <c r="H10" s="2"/>
      <c r="I10" s="2" t="s">
        <v>346</v>
      </c>
      <c r="J10" s="2" t="s">
        <v>244</v>
      </c>
      <c r="K10" s="2">
        <v>2.2178774016195701</v>
      </c>
      <c r="L10" s="2">
        <v>3.0983483886698616E-2</v>
      </c>
      <c r="M10" s="2">
        <v>1.3969881231520467</v>
      </c>
      <c r="N10" s="2">
        <v>0.45088154975102129</v>
      </c>
      <c r="O10" s="2">
        <v>5.4331444125406518E-3</v>
      </c>
    </row>
    <row r="11" spans="1:15" x14ac:dyDescent="0.3">
      <c r="B11" t="s">
        <v>15</v>
      </c>
      <c r="C11" s="2">
        <v>74.386478576778941</v>
      </c>
      <c r="D11" s="2">
        <v>0.43219774032596142</v>
      </c>
      <c r="E11" s="2">
        <v>0.58101653498742123</v>
      </c>
      <c r="F11" s="2">
        <v>1.3443303395089975E-2</v>
      </c>
      <c r="G11" s="2">
        <v>7.5788531288206271E-2</v>
      </c>
      <c r="H11" s="2"/>
      <c r="I11" s="2" t="s">
        <v>346</v>
      </c>
      <c r="J11" s="2" t="s">
        <v>275</v>
      </c>
      <c r="K11" s="2">
        <v>3.8487147226592118</v>
      </c>
      <c r="L11" s="2">
        <v>6.3342234052933724E-2</v>
      </c>
      <c r="M11" s="2">
        <v>1.6458022643249681</v>
      </c>
      <c r="N11" s="2">
        <v>0.25982699993650477</v>
      </c>
      <c r="O11" s="2">
        <v>1.1107450223513553E-2</v>
      </c>
    </row>
    <row r="12" spans="1:15" x14ac:dyDescent="0.3">
      <c r="B12" t="s">
        <v>20</v>
      </c>
      <c r="C12" s="2">
        <v>23.660970111957351</v>
      </c>
      <c r="D12" s="2">
        <v>9.1099803407905938E-2</v>
      </c>
      <c r="E12" s="2">
        <v>0.38502142125553668</v>
      </c>
      <c r="F12" s="2">
        <v>4.2263693976547403E-2</v>
      </c>
      <c r="G12" s="2">
        <v>1.5974910687229216E-2</v>
      </c>
      <c r="H12" s="2"/>
      <c r="I12" s="2" t="s">
        <v>346</v>
      </c>
      <c r="J12" s="2" t="s">
        <v>306</v>
      </c>
      <c r="K12" s="2">
        <v>120.50303490061819</v>
      </c>
      <c r="L12" s="2">
        <v>0.87597222974580558</v>
      </c>
      <c r="M12" s="2">
        <v>0.72692960012852903</v>
      </c>
      <c r="N12" s="2">
        <v>8.2985461803905987E-3</v>
      </c>
      <c r="O12" s="2">
        <v>0.1536071167137982</v>
      </c>
    </row>
    <row r="13" spans="1:15" x14ac:dyDescent="0.3">
      <c r="B13" t="s">
        <v>14</v>
      </c>
      <c r="C13" s="2">
        <v>707.04466528063381</v>
      </c>
      <c r="D13" s="2">
        <v>17.512114412677324</v>
      </c>
      <c r="E13" s="2">
        <v>2.4768045461069383</v>
      </c>
      <c r="F13" s="2">
        <v>1.4143378050990442E-3</v>
      </c>
      <c r="G13" s="2">
        <v>3.0708569417481506</v>
      </c>
      <c r="H13" s="2"/>
      <c r="I13" s="2"/>
      <c r="J13" s="2"/>
      <c r="K13" s="2"/>
      <c r="L13" s="2"/>
      <c r="M13" s="2"/>
      <c r="N13" s="2"/>
      <c r="O13" s="2"/>
    </row>
    <row r="14" spans="1:15" x14ac:dyDescent="0.3">
      <c r="B14" t="s">
        <v>717</v>
      </c>
    </row>
    <row r="15" spans="1:15" x14ac:dyDescent="0.3">
      <c r="B15" s="2" t="s">
        <v>182</v>
      </c>
      <c r="C15" s="2">
        <v>1.291673864544419</v>
      </c>
      <c r="D15" s="2">
        <v>2.1084343832794724E-2</v>
      </c>
      <c r="E15" s="2">
        <v>1.6323272005067082</v>
      </c>
      <c r="F15" s="2">
        <v>0.77418923417847885</v>
      </c>
      <c r="G15" s="2">
        <v>3.6972693356931824E-3</v>
      </c>
    </row>
    <row r="16" spans="1:15" x14ac:dyDescent="0.3">
      <c r="B16" s="2" t="s">
        <v>213</v>
      </c>
      <c r="C16" s="2">
        <v>30.361428073043587</v>
      </c>
      <c r="D16" s="2">
        <v>0.31367334921630519</v>
      </c>
      <c r="E16" s="2">
        <v>1.0331310782275103</v>
      </c>
      <c r="F16" s="2">
        <v>3.2936527148663693E-2</v>
      </c>
      <c r="G16" s="2">
        <v>5.5004550517610384E-2</v>
      </c>
    </row>
    <row r="17" spans="2:7" x14ac:dyDescent="0.3">
      <c r="B17" s="2" t="s">
        <v>244</v>
      </c>
      <c r="C17" s="2">
        <v>2.2178774016195701</v>
      </c>
      <c r="D17" s="2">
        <v>3.0983483886698616E-2</v>
      </c>
      <c r="E17" s="2">
        <v>1.3969881231520467</v>
      </c>
      <c r="F17" s="2">
        <v>0.45088154975102129</v>
      </c>
      <c r="G17" s="2">
        <v>5.4331444125406518E-3</v>
      </c>
    </row>
    <row r="18" spans="2:7" x14ac:dyDescent="0.3">
      <c r="B18" s="2" t="s">
        <v>275</v>
      </c>
      <c r="C18" s="2">
        <v>3.8487147226592118</v>
      </c>
      <c r="D18" s="2">
        <v>6.3342234052933724E-2</v>
      </c>
      <c r="E18" s="2">
        <v>1.6458022643249681</v>
      </c>
      <c r="F18" s="2">
        <v>0.25982699993650477</v>
      </c>
      <c r="G18" s="2">
        <v>1.1107450223513553E-2</v>
      </c>
    </row>
    <row r="19" spans="2:7" x14ac:dyDescent="0.3">
      <c r="B19" s="2" t="s">
        <v>306</v>
      </c>
      <c r="C19" s="2">
        <v>120.50303490061819</v>
      </c>
      <c r="D19" s="2">
        <v>0.87597222974580558</v>
      </c>
      <c r="E19" s="2">
        <v>0.72692960012852903</v>
      </c>
      <c r="F19" s="2">
        <v>8.2985461803905987E-3</v>
      </c>
      <c r="G19" s="2">
        <v>0.1536071167137982</v>
      </c>
    </row>
    <row r="23" spans="2:7" x14ac:dyDescent="0.3">
      <c r="B23" t="s">
        <v>21</v>
      </c>
      <c r="C23" t="s">
        <v>712</v>
      </c>
    </row>
    <row r="24" spans="2:7" x14ac:dyDescent="0.3">
      <c r="B24" t="s">
        <v>17</v>
      </c>
      <c r="C24" s="2">
        <v>0.20075312212121155</v>
      </c>
    </row>
    <row r="25" spans="2:7" x14ac:dyDescent="0.3">
      <c r="B25" t="s">
        <v>16</v>
      </c>
      <c r="C25" s="2">
        <v>0.20597528181818131</v>
      </c>
    </row>
    <row r="26" spans="2:7" x14ac:dyDescent="0.3">
      <c r="B26" t="s">
        <v>19</v>
      </c>
      <c r="C26" s="2">
        <v>0.32223790588235252</v>
      </c>
    </row>
    <row r="27" spans="2:7" x14ac:dyDescent="0.3">
      <c r="B27" t="s">
        <v>20</v>
      </c>
      <c r="C27" s="2">
        <v>23.660970111957351</v>
      </c>
    </row>
    <row r="28" spans="2:7" x14ac:dyDescent="0.3">
      <c r="B28" t="s">
        <v>15</v>
      </c>
      <c r="C28" s="2">
        <v>74.386478576778941</v>
      </c>
    </row>
    <row r="29" spans="2:7" x14ac:dyDescent="0.3">
      <c r="B29" t="s">
        <v>25</v>
      </c>
      <c r="C29" s="2">
        <v>707.04466528063381</v>
      </c>
    </row>
    <row r="30" spans="2:7" x14ac:dyDescent="0.3">
      <c r="B30" t="s">
        <v>182</v>
      </c>
      <c r="C30" s="2">
        <v>1.291673864544419</v>
      </c>
    </row>
    <row r="31" spans="2:7" x14ac:dyDescent="0.3">
      <c r="B31" t="s">
        <v>244</v>
      </c>
      <c r="C31" s="2">
        <v>2.2178774016195701</v>
      </c>
    </row>
    <row r="32" spans="2:7" x14ac:dyDescent="0.3">
      <c r="B32" s="2" t="s">
        <v>275</v>
      </c>
      <c r="C32" s="2">
        <v>3.8487147226592118</v>
      </c>
    </row>
    <row r="33" spans="2:3" x14ac:dyDescent="0.3">
      <c r="B33" t="s">
        <v>213</v>
      </c>
      <c r="C33" s="2">
        <v>30.361428073043587</v>
      </c>
    </row>
    <row r="34" spans="2:3" x14ac:dyDescent="0.3">
      <c r="B34" t="s">
        <v>726</v>
      </c>
      <c r="C34" s="2">
        <v>120.50303490061819</v>
      </c>
    </row>
    <row r="47" spans="2:3" x14ac:dyDescent="0.3">
      <c r="B47" s="2"/>
    </row>
    <row r="52" spans="1:2" x14ac:dyDescent="0.3">
      <c r="A52" s="11"/>
      <c r="B52" s="11"/>
    </row>
    <row r="63" spans="1:2" x14ac:dyDescent="0.3">
      <c r="B63" s="2"/>
    </row>
  </sheetData>
  <sortState xmlns:xlrd2="http://schemas.microsoft.com/office/spreadsheetml/2017/richdata2" ref="B31:C34">
    <sortCondition ref="C31:C34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1F7FF-F343-41A4-A259-D5CFB7F8034D}">
  <dimension ref="A2:U212"/>
  <sheetViews>
    <sheetView workbookViewId="0">
      <selection activeCell="I7" sqref="I7"/>
    </sheetView>
  </sheetViews>
  <sheetFormatPr defaultRowHeight="14.4" x14ac:dyDescent="0.3"/>
  <cols>
    <col min="1" max="1" width="27" bestFit="1" customWidth="1"/>
    <col min="2" max="2" width="5.88671875" bestFit="1" customWidth="1"/>
    <col min="3" max="4" width="12" bestFit="1" customWidth="1"/>
    <col min="12" max="12" width="25.5546875" bestFit="1" customWidth="1"/>
    <col min="13" max="13" width="5.88671875" bestFit="1" customWidth="1"/>
    <col min="16" max="16" width="10.109375" bestFit="1" customWidth="1"/>
  </cols>
  <sheetData>
    <row r="2" spans="1:21" x14ac:dyDescent="0.3">
      <c r="J2" t="s">
        <v>411</v>
      </c>
    </row>
    <row r="4" spans="1:21" x14ac:dyDescent="0.3">
      <c r="A4" t="s">
        <v>180</v>
      </c>
      <c r="L4" t="s">
        <v>337</v>
      </c>
    </row>
    <row r="6" spans="1:21" x14ac:dyDescent="0.3">
      <c r="A6" t="s">
        <v>0</v>
      </c>
      <c r="B6" t="s">
        <v>1</v>
      </c>
      <c r="C6" t="s">
        <v>8</v>
      </c>
      <c r="F6" s="1" t="s">
        <v>341</v>
      </c>
      <c r="G6" s="1" t="s">
        <v>342</v>
      </c>
      <c r="H6" s="1" t="s">
        <v>409</v>
      </c>
      <c r="I6" s="1" t="s">
        <v>410</v>
      </c>
      <c r="J6" s="1" t="s">
        <v>412</v>
      </c>
      <c r="L6" t="s">
        <v>0</v>
      </c>
      <c r="M6" t="s">
        <v>1</v>
      </c>
      <c r="N6" t="s">
        <v>8</v>
      </c>
      <c r="Q6" t="s">
        <v>341</v>
      </c>
      <c r="R6" t="s">
        <v>342</v>
      </c>
      <c r="S6" t="s">
        <v>409</v>
      </c>
      <c r="T6" t="s">
        <v>410</v>
      </c>
      <c r="U6" t="s">
        <v>412</v>
      </c>
    </row>
    <row r="7" spans="1:21" x14ac:dyDescent="0.3">
      <c r="A7" t="s">
        <v>399</v>
      </c>
      <c r="B7" t="s">
        <v>12</v>
      </c>
      <c r="C7">
        <v>0.20733836363636299</v>
      </c>
      <c r="E7" t="s">
        <v>16</v>
      </c>
      <c r="F7">
        <f>AVERAGE(C7:C36)</f>
        <v>0.20597528181818131</v>
      </c>
      <c r="G7">
        <f>_xlfn.STDEV.S(C7:C36)</f>
        <v>6.0343542060396164E-4</v>
      </c>
      <c r="H7">
        <f>G7/F7*100</f>
        <v>0.29296496903770558</v>
      </c>
      <c r="I7">
        <f>1/F7</f>
        <v>4.8549514833664409</v>
      </c>
      <c r="J7">
        <f>_xlfn.T.DIST.2T(0.05,29)*G7/SQRT(30)</f>
        <v>1.0581611144094202E-4</v>
      </c>
      <c r="L7" t="s">
        <v>588</v>
      </c>
      <c r="M7" t="s">
        <v>12</v>
      </c>
      <c r="N7">
        <v>1.2744249999999899</v>
      </c>
      <c r="P7" t="s">
        <v>182</v>
      </c>
      <c r="Q7">
        <f>AVERAGE(N7:N36)</f>
        <v>1.291673864544419</v>
      </c>
      <c r="R7">
        <f>_xlfn.STDEV.S(N7:N36)</f>
        <v>2.1084343832794721E-2</v>
      </c>
      <c r="S7">
        <f>R7/Q7*100</f>
        <v>1.6323272005067078</v>
      </c>
      <c r="T7">
        <f>1/Q7</f>
        <v>0.77418923417847885</v>
      </c>
      <c r="U7">
        <f>_xlfn.T.DIST.2T(0.05,29)*R7/SQRT(30)</f>
        <v>3.6972693356931816E-3</v>
      </c>
    </row>
    <row r="8" spans="1:21" x14ac:dyDescent="0.3">
      <c r="A8" t="s">
        <v>378</v>
      </c>
      <c r="B8" t="s">
        <v>12</v>
      </c>
      <c r="C8">
        <v>0.20544645454545399</v>
      </c>
      <c r="L8" t="s">
        <v>591</v>
      </c>
      <c r="M8" t="s">
        <v>12</v>
      </c>
      <c r="N8">
        <v>1.24955539130434</v>
      </c>
    </row>
    <row r="9" spans="1:21" x14ac:dyDescent="0.3">
      <c r="A9" t="s">
        <v>397</v>
      </c>
      <c r="B9" t="s">
        <v>12</v>
      </c>
      <c r="C9">
        <v>0.20559563636363601</v>
      </c>
      <c r="L9" t="s">
        <v>569</v>
      </c>
      <c r="M9" t="s">
        <v>12</v>
      </c>
      <c r="N9">
        <v>1.2828947164179101</v>
      </c>
    </row>
    <row r="10" spans="1:21" x14ac:dyDescent="0.3">
      <c r="A10" t="s">
        <v>404</v>
      </c>
      <c r="B10" t="s">
        <v>12</v>
      </c>
      <c r="C10">
        <v>0.20575536363636299</v>
      </c>
      <c r="L10" t="s">
        <v>574</v>
      </c>
      <c r="M10" t="s">
        <v>12</v>
      </c>
      <c r="N10">
        <v>1.29859179365079</v>
      </c>
    </row>
    <row r="11" spans="1:21" x14ac:dyDescent="0.3">
      <c r="A11" t="s">
        <v>398</v>
      </c>
      <c r="B11" t="s">
        <v>12</v>
      </c>
      <c r="C11">
        <v>0.20587227272727199</v>
      </c>
      <c r="L11" t="s">
        <v>577</v>
      </c>
      <c r="M11" t="s">
        <v>12</v>
      </c>
      <c r="N11">
        <v>1.3202852537313401</v>
      </c>
    </row>
    <row r="12" spans="1:21" x14ac:dyDescent="0.3">
      <c r="A12" t="s">
        <v>396</v>
      </c>
      <c r="B12" t="s">
        <v>12</v>
      </c>
      <c r="C12">
        <v>0.206080181818181</v>
      </c>
      <c r="L12" t="s">
        <v>573</v>
      </c>
      <c r="M12" t="s">
        <v>12</v>
      </c>
      <c r="N12">
        <v>1.2575482950819601</v>
      </c>
    </row>
    <row r="13" spans="1:21" x14ac:dyDescent="0.3">
      <c r="A13" t="s">
        <v>395</v>
      </c>
      <c r="B13" t="s">
        <v>12</v>
      </c>
      <c r="C13">
        <v>0.20579763636363599</v>
      </c>
      <c r="L13" t="s">
        <v>571</v>
      </c>
      <c r="M13" t="s">
        <v>12</v>
      </c>
      <c r="N13">
        <v>1.2949906363636301</v>
      </c>
    </row>
    <row r="14" spans="1:21" x14ac:dyDescent="0.3">
      <c r="A14" t="s">
        <v>389</v>
      </c>
      <c r="B14" t="s">
        <v>12</v>
      </c>
      <c r="C14">
        <v>0.20588809090908999</v>
      </c>
      <c r="L14" t="s">
        <v>584</v>
      </c>
      <c r="M14" t="s">
        <v>12</v>
      </c>
      <c r="N14">
        <v>1.2563043934426199</v>
      </c>
    </row>
    <row r="15" spans="1:21" x14ac:dyDescent="0.3">
      <c r="A15" t="s">
        <v>391</v>
      </c>
      <c r="B15" t="s">
        <v>12</v>
      </c>
      <c r="C15">
        <v>0.205409363636363</v>
      </c>
      <c r="L15" t="s">
        <v>575</v>
      </c>
      <c r="M15" t="s">
        <v>12</v>
      </c>
      <c r="N15">
        <v>1.2798712388059701</v>
      </c>
    </row>
    <row r="16" spans="1:21" x14ac:dyDescent="0.3">
      <c r="A16" t="s">
        <v>390</v>
      </c>
      <c r="B16" t="s">
        <v>12</v>
      </c>
      <c r="C16">
        <v>0.20513109090909001</v>
      </c>
      <c r="L16" t="s">
        <v>582</v>
      </c>
      <c r="M16" t="s">
        <v>12</v>
      </c>
      <c r="N16">
        <v>1.2784840161290301</v>
      </c>
    </row>
    <row r="17" spans="1:14" x14ac:dyDescent="0.3">
      <c r="A17" t="s">
        <v>392</v>
      </c>
      <c r="B17" t="s">
        <v>12</v>
      </c>
      <c r="C17">
        <v>0.20607227272727199</v>
      </c>
      <c r="L17" t="s">
        <v>568</v>
      </c>
      <c r="M17" t="s">
        <v>12</v>
      </c>
      <c r="N17">
        <v>1.3155315074626801</v>
      </c>
    </row>
    <row r="18" spans="1:14" x14ac:dyDescent="0.3">
      <c r="A18" t="s">
        <v>383</v>
      </c>
      <c r="B18" t="s">
        <v>12</v>
      </c>
      <c r="C18">
        <v>0.205274727272727</v>
      </c>
      <c r="L18" t="s">
        <v>576</v>
      </c>
      <c r="M18" t="s">
        <v>12</v>
      </c>
      <c r="N18">
        <v>1.30289184126984</v>
      </c>
    </row>
    <row r="19" spans="1:14" x14ac:dyDescent="0.3">
      <c r="A19" t="s">
        <v>400</v>
      </c>
      <c r="B19" t="s">
        <v>12</v>
      </c>
      <c r="C19">
        <v>0.205300727272727</v>
      </c>
      <c r="L19" t="s">
        <v>572</v>
      </c>
      <c r="M19" t="s">
        <v>12</v>
      </c>
      <c r="N19">
        <v>1.3238481791044701</v>
      </c>
    </row>
    <row r="20" spans="1:14" x14ac:dyDescent="0.3">
      <c r="A20" t="s">
        <v>379</v>
      </c>
      <c r="B20" t="s">
        <v>12</v>
      </c>
      <c r="C20">
        <v>0.20582963636363599</v>
      </c>
      <c r="L20" t="s">
        <v>562</v>
      </c>
      <c r="M20" t="s">
        <v>12</v>
      </c>
      <c r="N20">
        <v>1.2961199999999999</v>
      </c>
    </row>
    <row r="21" spans="1:14" x14ac:dyDescent="0.3">
      <c r="A21" t="s">
        <v>403</v>
      </c>
      <c r="B21" t="s">
        <v>12</v>
      </c>
      <c r="C21">
        <v>0.206123545454545</v>
      </c>
      <c r="L21" t="s">
        <v>586</v>
      </c>
      <c r="M21" t="s">
        <v>12</v>
      </c>
      <c r="N21">
        <v>1.2976610735294101</v>
      </c>
    </row>
    <row r="22" spans="1:14" x14ac:dyDescent="0.3">
      <c r="A22" t="s">
        <v>388</v>
      </c>
      <c r="B22" t="s">
        <v>12</v>
      </c>
      <c r="C22">
        <v>0.20519381818181801</v>
      </c>
      <c r="L22" t="s">
        <v>581</v>
      </c>
      <c r="M22" t="s">
        <v>12</v>
      </c>
      <c r="N22">
        <v>1.27737741935483</v>
      </c>
    </row>
    <row r="23" spans="1:14" x14ac:dyDescent="0.3">
      <c r="A23" t="s">
        <v>381</v>
      </c>
      <c r="B23" t="s">
        <v>12</v>
      </c>
      <c r="C23">
        <v>0.205661272727272</v>
      </c>
      <c r="L23" t="s">
        <v>587</v>
      </c>
      <c r="M23" t="s">
        <v>12</v>
      </c>
      <c r="N23">
        <v>1.30465947761194</v>
      </c>
    </row>
    <row r="24" spans="1:14" x14ac:dyDescent="0.3">
      <c r="A24" t="s">
        <v>380</v>
      </c>
      <c r="B24" t="s">
        <v>12</v>
      </c>
      <c r="C24">
        <v>0.208142181818181</v>
      </c>
      <c r="L24" t="s">
        <v>563</v>
      </c>
      <c r="M24" t="s">
        <v>12</v>
      </c>
      <c r="N24">
        <v>1.27954856451612</v>
      </c>
    </row>
    <row r="25" spans="1:14" x14ac:dyDescent="0.3">
      <c r="A25" t="s">
        <v>385</v>
      </c>
      <c r="B25" t="s">
        <v>12</v>
      </c>
      <c r="C25">
        <v>0.20647081818181801</v>
      </c>
      <c r="L25" t="s">
        <v>585</v>
      </c>
      <c r="M25" t="s">
        <v>12</v>
      </c>
      <c r="N25">
        <v>1.3136259264705801</v>
      </c>
    </row>
    <row r="26" spans="1:14" x14ac:dyDescent="0.3">
      <c r="A26" t="s">
        <v>402</v>
      </c>
      <c r="B26" t="s">
        <v>12</v>
      </c>
      <c r="C26">
        <v>0.20630154545454499</v>
      </c>
      <c r="L26" t="s">
        <v>580</v>
      </c>
      <c r="M26" t="s">
        <v>12</v>
      </c>
      <c r="N26">
        <v>1.2786762580645099</v>
      </c>
    </row>
    <row r="27" spans="1:14" x14ac:dyDescent="0.3">
      <c r="A27" t="s">
        <v>405</v>
      </c>
      <c r="B27" t="s">
        <v>12</v>
      </c>
      <c r="C27">
        <v>0.20605354545454499</v>
      </c>
      <c r="L27" t="s">
        <v>590</v>
      </c>
      <c r="M27" t="s">
        <v>12</v>
      </c>
      <c r="N27">
        <v>1.2652232343750001</v>
      </c>
    </row>
    <row r="28" spans="1:14" x14ac:dyDescent="0.3">
      <c r="A28" t="s">
        <v>387</v>
      </c>
      <c r="B28" t="s">
        <v>12</v>
      </c>
      <c r="C28">
        <v>0.20585263636363599</v>
      </c>
      <c r="L28" t="s">
        <v>579</v>
      </c>
      <c r="M28" t="s">
        <v>12</v>
      </c>
      <c r="N28">
        <v>1.29936898412698</v>
      </c>
    </row>
    <row r="29" spans="1:14" x14ac:dyDescent="0.3">
      <c r="A29" t="s">
        <v>401</v>
      </c>
      <c r="B29" t="s">
        <v>12</v>
      </c>
      <c r="C29">
        <v>0.20626527272727199</v>
      </c>
      <c r="L29" t="s">
        <v>583</v>
      </c>
      <c r="M29" t="s">
        <v>12</v>
      </c>
      <c r="N29">
        <v>1.3044872352941099</v>
      </c>
    </row>
    <row r="30" spans="1:14" x14ac:dyDescent="0.3">
      <c r="A30" t="s">
        <v>407</v>
      </c>
      <c r="B30" t="s">
        <v>12</v>
      </c>
      <c r="C30">
        <v>0.20632618181818099</v>
      </c>
      <c r="L30" t="s">
        <v>566</v>
      </c>
      <c r="M30" t="s">
        <v>12</v>
      </c>
      <c r="N30">
        <v>1.2970522698412701</v>
      </c>
    </row>
    <row r="31" spans="1:14" x14ac:dyDescent="0.3">
      <c r="A31" t="s">
        <v>406</v>
      </c>
      <c r="B31" t="s">
        <v>12</v>
      </c>
      <c r="C31">
        <v>0.20615136363636299</v>
      </c>
      <c r="L31" t="s">
        <v>578</v>
      </c>
      <c r="M31" t="s">
        <v>12</v>
      </c>
      <c r="N31">
        <v>1.3431904411764699</v>
      </c>
    </row>
    <row r="32" spans="1:14" x14ac:dyDescent="0.3">
      <c r="A32" t="s">
        <v>394</v>
      </c>
      <c r="B32" t="s">
        <v>12</v>
      </c>
      <c r="C32">
        <v>0.20600372727272701</v>
      </c>
      <c r="L32" t="s">
        <v>589</v>
      </c>
      <c r="M32" t="s">
        <v>12</v>
      </c>
      <c r="N32">
        <v>1.2786507903225801</v>
      </c>
    </row>
    <row r="33" spans="1:21" x14ac:dyDescent="0.3">
      <c r="A33" t="s">
        <v>384</v>
      </c>
      <c r="B33" t="s">
        <v>12</v>
      </c>
      <c r="C33">
        <v>0.20581072727272701</v>
      </c>
      <c r="L33" t="s">
        <v>565</v>
      </c>
      <c r="M33" t="s">
        <v>12</v>
      </c>
      <c r="N33">
        <v>1.29996320895522</v>
      </c>
    </row>
    <row r="34" spans="1:21" x14ac:dyDescent="0.3">
      <c r="A34" t="s">
        <v>382</v>
      </c>
      <c r="B34" t="s">
        <v>12</v>
      </c>
      <c r="C34">
        <v>0.20603445454545399</v>
      </c>
      <c r="L34" t="s">
        <v>570</v>
      </c>
      <c r="M34" t="s">
        <v>12</v>
      </c>
      <c r="N34">
        <v>1.2788302580645099</v>
      </c>
    </row>
    <row r="35" spans="1:21" x14ac:dyDescent="0.3">
      <c r="A35" t="s">
        <v>386</v>
      </c>
      <c r="B35" t="s">
        <v>12</v>
      </c>
      <c r="C35">
        <v>0.20624063636363599</v>
      </c>
      <c r="L35" t="s">
        <v>564</v>
      </c>
      <c r="M35" t="s">
        <v>12</v>
      </c>
      <c r="N35">
        <v>1.3036763731343199</v>
      </c>
    </row>
    <row r="36" spans="1:21" x14ac:dyDescent="0.3">
      <c r="A36" t="s">
        <v>393</v>
      </c>
      <c r="B36" t="s">
        <v>12</v>
      </c>
      <c r="C36">
        <v>0.20583490909090901</v>
      </c>
      <c r="L36" t="s">
        <v>567</v>
      </c>
      <c r="M36" t="s">
        <v>12</v>
      </c>
      <c r="N36">
        <v>1.29688215873015</v>
      </c>
    </row>
    <row r="37" spans="1:21" x14ac:dyDescent="0.3">
      <c r="A37" t="s">
        <v>408</v>
      </c>
      <c r="B37" t="s">
        <v>12</v>
      </c>
      <c r="C37" s="1">
        <v>0.20597528181818101</v>
      </c>
      <c r="L37" t="s">
        <v>408</v>
      </c>
      <c r="M37" t="s">
        <v>12</v>
      </c>
      <c r="N37">
        <v>1.2920128215384601</v>
      </c>
    </row>
    <row r="41" spans="1:21" x14ac:dyDescent="0.3">
      <c r="A41" t="s">
        <v>0</v>
      </c>
      <c r="B41" t="s">
        <v>1</v>
      </c>
      <c r="C41" t="s">
        <v>8</v>
      </c>
      <c r="F41" s="1" t="s">
        <v>341</v>
      </c>
      <c r="G41" s="1" t="s">
        <v>342</v>
      </c>
      <c r="H41" s="1" t="s">
        <v>409</v>
      </c>
      <c r="I41" s="1" t="s">
        <v>410</v>
      </c>
      <c r="J41" s="1" t="s">
        <v>412</v>
      </c>
      <c r="L41" t="s">
        <v>0</v>
      </c>
      <c r="M41" t="s">
        <v>1</v>
      </c>
      <c r="N41" t="s">
        <v>8</v>
      </c>
      <c r="Q41" t="s">
        <v>341</v>
      </c>
      <c r="R41" t="s">
        <v>342</v>
      </c>
      <c r="S41" t="s">
        <v>409</v>
      </c>
      <c r="T41" t="s">
        <v>410</v>
      </c>
      <c r="U41" t="s">
        <v>412</v>
      </c>
    </row>
    <row r="42" spans="1:21" x14ac:dyDescent="0.3">
      <c r="A42" t="s">
        <v>423</v>
      </c>
      <c r="B42" t="s">
        <v>12</v>
      </c>
      <c r="C42">
        <v>0.20175545454545399</v>
      </c>
      <c r="E42" t="s">
        <v>17</v>
      </c>
      <c r="F42">
        <f>AVERAGE(C42:C71)</f>
        <v>0.20075312212121157</v>
      </c>
      <c r="G42">
        <f>_xlfn.STDEV.S(C42:C71)</f>
        <v>3.6394684249297145E-3</v>
      </c>
      <c r="H42">
        <f>G42/F42*100</f>
        <v>1.8129075087222108</v>
      </c>
      <c r="I42">
        <f>1/F42</f>
        <v>4.9812425801089946</v>
      </c>
      <c r="J42">
        <f>_xlfn.T.DIST.2T(0.05,29)*G42/SQRT(30)</f>
        <v>6.3820316688188814E-4</v>
      </c>
      <c r="L42" t="s">
        <v>616</v>
      </c>
      <c r="M42" t="s">
        <v>12</v>
      </c>
      <c r="N42">
        <v>29.926983681084501</v>
      </c>
      <c r="P42" t="s">
        <v>213</v>
      </c>
      <c r="Q42">
        <f>AVERAGE(N42:N71)</f>
        <v>30.361428073043577</v>
      </c>
      <c r="R42">
        <f>_xlfn.STDEV.S(N42:N71)</f>
        <v>0.31367334921630513</v>
      </c>
      <c r="S42">
        <f>R42/Q42*100</f>
        <v>1.0331310782275105</v>
      </c>
      <c r="T42">
        <f>1/Q42</f>
        <v>3.29365271486637E-2</v>
      </c>
      <c r="U42">
        <f>_xlfn.T.DIST.2T(0.05,29)*R42/SQRT(30)</f>
        <v>5.5004550517610371E-2</v>
      </c>
    </row>
    <row r="43" spans="1:21" x14ac:dyDescent="0.3">
      <c r="A43" t="s">
        <v>436</v>
      </c>
      <c r="B43" t="s">
        <v>12</v>
      </c>
      <c r="C43">
        <v>0.20163263636363599</v>
      </c>
      <c r="L43" t="s">
        <v>595</v>
      </c>
      <c r="M43" t="s">
        <v>12</v>
      </c>
      <c r="N43">
        <v>30.077829707018601</v>
      </c>
    </row>
    <row r="44" spans="1:21" x14ac:dyDescent="0.3">
      <c r="A44" t="s">
        <v>416</v>
      </c>
      <c r="B44" t="s">
        <v>12</v>
      </c>
      <c r="C44">
        <v>0.20073527272727201</v>
      </c>
      <c r="L44" t="s">
        <v>613</v>
      </c>
      <c r="M44" t="s">
        <v>12</v>
      </c>
      <c r="N44">
        <v>29.529831766710299</v>
      </c>
    </row>
    <row r="45" spans="1:21" x14ac:dyDescent="0.3">
      <c r="A45" t="s">
        <v>435</v>
      </c>
      <c r="B45" t="s">
        <v>12</v>
      </c>
      <c r="C45">
        <v>0.20088463636363599</v>
      </c>
      <c r="L45" t="s">
        <v>601</v>
      </c>
      <c r="M45" t="s">
        <v>12</v>
      </c>
      <c r="N45">
        <v>30.2540531341463</v>
      </c>
    </row>
    <row r="46" spans="1:21" x14ac:dyDescent="0.3">
      <c r="A46" t="s">
        <v>421</v>
      </c>
      <c r="B46" t="s">
        <v>12</v>
      </c>
      <c r="C46">
        <v>0.20137336363636299</v>
      </c>
      <c r="L46" t="s">
        <v>611</v>
      </c>
      <c r="M46" t="s">
        <v>12</v>
      </c>
      <c r="N46">
        <v>30.274883069364101</v>
      </c>
    </row>
    <row r="47" spans="1:21" x14ac:dyDescent="0.3">
      <c r="A47" t="s">
        <v>418</v>
      </c>
      <c r="B47" t="s">
        <v>12</v>
      </c>
      <c r="C47">
        <v>0.201304818181818</v>
      </c>
      <c r="L47" t="s">
        <v>593</v>
      </c>
      <c r="M47" t="s">
        <v>12</v>
      </c>
      <c r="N47">
        <v>30.129517786313698</v>
      </c>
    </row>
    <row r="48" spans="1:21" x14ac:dyDescent="0.3">
      <c r="A48" t="s">
        <v>433</v>
      </c>
      <c r="B48" t="s">
        <v>12</v>
      </c>
      <c r="C48">
        <v>0.20167045454545399</v>
      </c>
      <c r="L48" t="s">
        <v>612</v>
      </c>
      <c r="M48" t="s">
        <v>12</v>
      </c>
      <c r="N48">
        <v>30.165820948353701</v>
      </c>
    </row>
    <row r="49" spans="1:14" x14ac:dyDescent="0.3">
      <c r="A49" t="s">
        <v>438</v>
      </c>
      <c r="B49" t="s">
        <v>12</v>
      </c>
      <c r="C49">
        <v>0.20097345454545401</v>
      </c>
      <c r="L49" t="s">
        <v>618</v>
      </c>
      <c r="M49" t="s">
        <v>12</v>
      </c>
      <c r="N49">
        <v>30.094583903559801</v>
      </c>
    </row>
    <row r="50" spans="1:14" x14ac:dyDescent="0.3">
      <c r="A50" t="s">
        <v>427</v>
      </c>
      <c r="B50" t="s">
        <v>12</v>
      </c>
      <c r="C50">
        <v>0.20115218181818101</v>
      </c>
      <c r="L50" t="s">
        <v>600</v>
      </c>
      <c r="M50" t="s">
        <v>12</v>
      </c>
      <c r="N50">
        <v>30.334543013496098</v>
      </c>
    </row>
    <row r="51" spans="1:14" x14ac:dyDescent="0.3">
      <c r="A51" t="s">
        <v>415</v>
      </c>
      <c r="B51" t="s">
        <v>12</v>
      </c>
      <c r="C51">
        <v>0.20139609090909</v>
      </c>
      <c r="L51" t="s">
        <v>617</v>
      </c>
      <c r="M51" t="s">
        <v>12</v>
      </c>
      <c r="N51">
        <v>30.328450633911299</v>
      </c>
    </row>
    <row r="52" spans="1:14" x14ac:dyDescent="0.3">
      <c r="A52" t="s">
        <v>437</v>
      </c>
      <c r="B52" t="s">
        <v>12</v>
      </c>
      <c r="C52">
        <v>0.201286545454545</v>
      </c>
      <c r="L52" t="s">
        <v>619</v>
      </c>
      <c r="M52" t="s">
        <v>12</v>
      </c>
      <c r="N52">
        <v>30.1920151931524</v>
      </c>
    </row>
    <row r="53" spans="1:14" x14ac:dyDescent="0.3">
      <c r="A53" t="s">
        <v>431</v>
      </c>
      <c r="B53" t="s">
        <v>12</v>
      </c>
      <c r="C53">
        <v>0.201542454545454</v>
      </c>
      <c r="L53" t="s">
        <v>608</v>
      </c>
      <c r="M53" t="s">
        <v>12</v>
      </c>
      <c r="N53">
        <v>30.463174049232698</v>
      </c>
    </row>
    <row r="54" spans="1:14" x14ac:dyDescent="0.3">
      <c r="A54" t="s">
        <v>425</v>
      </c>
      <c r="B54" t="s">
        <v>12</v>
      </c>
      <c r="C54">
        <v>0.20158781818181801</v>
      </c>
      <c r="L54" t="s">
        <v>596</v>
      </c>
      <c r="M54" t="s">
        <v>12</v>
      </c>
      <c r="N54">
        <v>30.419804573529401</v>
      </c>
    </row>
    <row r="55" spans="1:14" x14ac:dyDescent="0.3">
      <c r="A55" t="s">
        <v>430</v>
      </c>
      <c r="B55" t="s">
        <v>12</v>
      </c>
      <c r="C55">
        <v>0.201655454545454</v>
      </c>
      <c r="L55" t="s">
        <v>606</v>
      </c>
      <c r="M55" t="s">
        <v>12</v>
      </c>
      <c r="N55">
        <v>30.779879131728901</v>
      </c>
    </row>
    <row r="56" spans="1:14" x14ac:dyDescent="0.3">
      <c r="A56" t="s">
        <v>442</v>
      </c>
      <c r="B56" t="s">
        <v>12</v>
      </c>
      <c r="C56">
        <v>0.18156029999999901</v>
      </c>
      <c r="L56" t="s">
        <v>602</v>
      </c>
      <c r="M56" t="s">
        <v>12</v>
      </c>
      <c r="N56">
        <v>30.498173012795899</v>
      </c>
    </row>
    <row r="57" spans="1:14" x14ac:dyDescent="0.3">
      <c r="A57" t="s">
        <v>441</v>
      </c>
      <c r="B57" t="s">
        <v>12</v>
      </c>
      <c r="C57">
        <v>0.201097454545454</v>
      </c>
      <c r="L57" t="s">
        <v>598</v>
      </c>
      <c r="M57" t="s">
        <v>12</v>
      </c>
      <c r="N57">
        <v>30.568129729885001</v>
      </c>
    </row>
    <row r="58" spans="1:14" x14ac:dyDescent="0.3">
      <c r="A58" t="s">
        <v>422</v>
      </c>
      <c r="B58" t="s">
        <v>12</v>
      </c>
      <c r="C58">
        <v>0.201902454545454</v>
      </c>
      <c r="L58" t="s">
        <v>615</v>
      </c>
      <c r="M58" t="s">
        <v>12</v>
      </c>
      <c r="N58">
        <v>30.8712333301707</v>
      </c>
    </row>
    <row r="59" spans="1:14" x14ac:dyDescent="0.3">
      <c r="A59" t="s">
        <v>440</v>
      </c>
      <c r="B59" t="s">
        <v>12</v>
      </c>
      <c r="C59">
        <v>0.201631454545454</v>
      </c>
      <c r="L59" t="s">
        <v>604</v>
      </c>
      <c r="M59" t="s">
        <v>12</v>
      </c>
      <c r="N59">
        <v>30.8997101817606</v>
      </c>
    </row>
    <row r="60" spans="1:14" x14ac:dyDescent="0.3">
      <c r="A60" t="s">
        <v>414</v>
      </c>
      <c r="B60" t="s">
        <v>12</v>
      </c>
      <c r="C60">
        <v>0.20089827272727201</v>
      </c>
      <c r="L60" t="s">
        <v>609</v>
      </c>
      <c r="M60" t="s">
        <v>12</v>
      </c>
      <c r="N60">
        <v>30.563837893929701</v>
      </c>
    </row>
    <row r="61" spans="1:14" x14ac:dyDescent="0.3">
      <c r="A61" t="s">
        <v>432</v>
      </c>
      <c r="B61" t="s">
        <v>12</v>
      </c>
      <c r="C61">
        <v>0.20206372727272701</v>
      </c>
      <c r="L61" t="s">
        <v>594</v>
      </c>
      <c r="M61" t="s">
        <v>12</v>
      </c>
      <c r="N61">
        <v>30.069527294805098</v>
      </c>
    </row>
    <row r="62" spans="1:14" x14ac:dyDescent="0.3">
      <c r="A62" t="s">
        <v>419</v>
      </c>
      <c r="B62" t="s">
        <v>12</v>
      </c>
      <c r="C62">
        <v>0.201648545454545</v>
      </c>
      <c r="L62" t="s">
        <v>605</v>
      </c>
      <c r="M62" t="s">
        <v>12</v>
      </c>
      <c r="N62">
        <v>30.383372273954901</v>
      </c>
    </row>
    <row r="63" spans="1:14" x14ac:dyDescent="0.3">
      <c r="A63" t="s">
        <v>439</v>
      </c>
      <c r="B63" t="s">
        <v>12</v>
      </c>
      <c r="C63">
        <v>0.20170872727272701</v>
      </c>
      <c r="L63" t="s">
        <v>614</v>
      </c>
      <c r="M63" t="s">
        <v>12</v>
      </c>
      <c r="N63">
        <v>30.428538567116199</v>
      </c>
    </row>
    <row r="64" spans="1:14" x14ac:dyDescent="0.3">
      <c r="A64" t="s">
        <v>413</v>
      </c>
      <c r="B64" t="s">
        <v>12</v>
      </c>
      <c r="C64">
        <v>0.201300363636363</v>
      </c>
      <c r="L64" t="s">
        <v>621</v>
      </c>
      <c r="M64" t="s">
        <v>12</v>
      </c>
      <c r="N64">
        <v>30.026280551007101</v>
      </c>
    </row>
    <row r="65" spans="1:21" x14ac:dyDescent="0.3">
      <c r="A65" t="s">
        <v>426</v>
      </c>
      <c r="B65" t="s">
        <v>12</v>
      </c>
      <c r="C65">
        <v>0.20152599999999901</v>
      </c>
      <c r="L65" t="s">
        <v>592</v>
      </c>
      <c r="M65" t="s">
        <v>12</v>
      </c>
      <c r="N65">
        <v>30.2055245750323</v>
      </c>
    </row>
    <row r="66" spans="1:21" x14ac:dyDescent="0.3">
      <c r="A66" t="s">
        <v>417</v>
      </c>
      <c r="B66" t="s">
        <v>12</v>
      </c>
      <c r="C66">
        <v>0.201156454545454</v>
      </c>
      <c r="L66" t="s">
        <v>607</v>
      </c>
      <c r="M66" t="s">
        <v>12</v>
      </c>
      <c r="N66">
        <v>30.365956366495499</v>
      </c>
    </row>
    <row r="67" spans="1:21" x14ac:dyDescent="0.3">
      <c r="A67" t="s">
        <v>420</v>
      </c>
      <c r="B67" t="s">
        <v>12</v>
      </c>
      <c r="C67">
        <v>0.201719727272727</v>
      </c>
      <c r="L67" t="s">
        <v>599</v>
      </c>
      <c r="M67" t="s">
        <v>12</v>
      </c>
      <c r="N67">
        <v>30.9418507365761</v>
      </c>
    </row>
    <row r="68" spans="1:21" x14ac:dyDescent="0.3">
      <c r="A68" t="s">
        <v>428</v>
      </c>
      <c r="B68" t="s">
        <v>12</v>
      </c>
      <c r="C68">
        <v>0.20148663636363601</v>
      </c>
      <c r="L68" t="s">
        <v>620</v>
      </c>
      <c r="M68" t="s">
        <v>12</v>
      </c>
      <c r="N68">
        <v>30.697583418367302</v>
      </c>
    </row>
    <row r="69" spans="1:21" x14ac:dyDescent="0.3">
      <c r="A69" t="s">
        <v>429</v>
      </c>
      <c r="B69" t="s">
        <v>12</v>
      </c>
      <c r="C69">
        <v>0.201562181818181</v>
      </c>
      <c r="L69" t="s">
        <v>610</v>
      </c>
      <c r="M69" t="s">
        <v>12</v>
      </c>
      <c r="N69">
        <v>30.603364719029301</v>
      </c>
    </row>
    <row r="70" spans="1:21" x14ac:dyDescent="0.3">
      <c r="A70" t="s">
        <v>434</v>
      </c>
      <c r="B70" t="s">
        <v>12</v>
      </c>
      <c r="C70">
        <v>0.20147509090908999</v>
      </c>
      <c r="L70" t="s">
        <v>597</v>
      </c>
      <c r="M70" t="s">
        <v>12</v>
      </c>
      <c r="N70">
        <v>30.6015028586956</v>
      </c>
    </row>
    <row r="71" spans="1:21" x14ac:dyDescent="0.3">
      <c r="A71" t="s">
        <v>424</v>
      </c>
      <c r="B71" t="s">
        <v>12</v>
      </c>
      <c r="C71">
        <v>0.20090563636363601</v>
      </c>
      <c r="L71" t="s">
        <v>603</v>
      </c>
      <c r="M71" t="s">
        <v>12</v>
      </c>
      <c r="N71">
        <v>30.146886090084202</v>
      </c>
    </row>
    <row r="72" spans="1:21" x14ac:dyDescent="0.3">
      <c r="A72" t="s">
        <v>408</v>
      </c>
      <c r="B72" t="s">
        <v>12</v>
      </c>
      <c r="C72">
        <v>0.20081145896656499</v>
      </c>
      <c r="L72" t="s">
        <v>408</v>
      </c>
      <c r="M72" t="s">
        <v>12</v>
      </c>
      <c r="N72">
        <v>30.3638994727031</v>
      </c>
    </row>
    <row r="76" spans="1:21" x14ac:dyDescent="0.3">
      <c r="A76" t="s">
        <v>0</v>
      </c>
      <c r="B76" t="s">
        <v>1</v>
      </c>
      <c r="C76" t="s">
        <v>8</v>
      </c>
      <c r="F76" s="1" t="s">
        <v>341</v>
      </c>
      <c r="G76" s="1" t="s">
        <v>342</v>
      </c>
      <c r="H76" s="1" t="s">
        <v>409</v>
      </c>
      <c r="I76" s="1" t="s">
        <v>410</v>
      </c>
      <c r="J76" s="1" t="s">
        <v>412</v>
      </c>
      <c r="L76" t="s">
        <v>0</v>
      </c>
      <c r="M76" t="s">
        <v>1</v>
      </c>
      <c r="N76" t="s">
        <v>8</v>
      </c>
      <c r="Q76" t="s">
        <v>341</v>
      </c>
      <c r="R76" t="s">
        <v>342</v>
      </c>
      <c r="S76" t="s">
        <v>409</v>
      </c>
      <c r="T76" t="s">
        <v>410</v>
      </c>
      <c r="U76" t="s">
        <v>412</v>
      </c>
    </row>
    <row r="77" spans="1:21" x14ac:dyDescent="0.3">
      <c r="A77" t="s">
        <v>469</v>
      </c>
      <c r="B77" t="s">
        <v>12</v>
      </c>
      <c r="C77">
        <v>0.321780470588235</v>
      </c>
      <c r="E77" t="s">
        <v>19</v>
      </c>
      <c r="F77">
        <f>AVERAGE(C77:C106)</f>
        <v>0.32223790588235246</v>
      </c>
      <c r="G77">
        <f>_xlfn.STDEV.S(C77:C106)</f>
        <v>6.1948781099987842E-4</v>
      </c>
      <c r="H77">
        <f>G77/F77*100</f>
        <v>0.19224548064995511</v>
      </c>
      <c r="I77">
        <f>1/F77</f>
        <v>3.1032972277479214</v>
      </c>
      <c r="J77">
        <f>_xlfn.T.DIST.2T(0.05,29)*G77/SQRT(30)</f>
        <v>1.0863099680071716E-4</v>
      </c>
      <c r="L77" t="s">
        <v>634</v>
      </c>
      <c r="M77" t="s">
        <v>12</v>
      </c>
      <c r="N77">
        <v>2.2370286513761402</v>
      </c>
      <c r="P77" t="s">
        <v>244</v>
      </c>
      <c r="Q77">
        <f>AVERAGE(N77:N106)</f>
        <v>2.2178774016195701</v>
      </c>
      <c r="R77">
        <f>_xlfn.STDEV.S(N77:N106)</f>
        <v>3.0983483886698616E-2</v>
      </c>
      <c r="S77">
        <f>R77/Q77*100</f>
        <v>1.3969881231520467</v>
      </c>
      <c r="T77">
        <f>1/Q77</f>
        <v>0.45088154975102129</v>
      </c>
      <c r="U77">
        <f>_xlfn.T.DIST.2T(0.05,29)*R77/SQRT(30)</f>
        <v>5.4331444125406518E-3</v>
      </c>
    </row>
    <row r="78" spans="1:21" x14ac:dyDescent="0.3">
      <c r="A78" t="s">
        <v>462</v>
      </c>
      <c r="B78" t="s">
        <v>12</v>
      </c>
      <c r="C78">
        <v>0.32152429411764699</v>
      </c>
      <c r="L78" t="s">
        <v>628</v>
      </c>
      <c r="M78" t="s">
        <v>12</v>
      </c>
      <c r="N78">
        <v>2.2669014375000001</v>
      </c>
    </row>
    <row r="79" spans="1:21" x14ac:dyDescent="0.3">
      <c r="A79" t="s">
        <v>447</v>
      </c>
      <c r="B79" t="s">
        <v>12</v>
      </c>
      <c r="C79">
        <v>0.32235529411764702</v>
      </c>
      <c r="L79" t="s">
        <v>627</v>
      </c>
      <c r="M79" t="s">
        <v>12</v>
      </c>
      <c r="N79">
        <v>2.2087962962962902</v>
      </c>
    </row>
    <row r="80" spans="1:21" x14ac:dyDescent="0.3">
      <c r="A80" t="s">
        <v>443</v>
      </c>
      <c r="B80" t="s">
        <v>12</v>
      </c>
      <c r="C80">
        <v>0.32180076470588198</v>
      </c>
      <c r="L80" t="s">
        <v>643</v>
      </c>
      <c r="M80" t="s">
        <v>12</v>
      </c>
      <c r="N80">
        <v>2.2094599999999902</v>
      </c>
    </row>
    <row r="81" spans="1:14" x14ac:dyDescent="0.3">
      <c r="A81" t="s">
        <v>459</v>
      </c>
      <c r="B81" t="s">
        <v>12</v>
      </c>
      <c r="C81">
        <v>0.32147635294117599</v>
      </c>
      <c r="L81" t="s">
        <v>624</v>
      </c>
      <c r="M81" t="s">
        <v>12</v>
      </c>
      <c r="N81">
        <v>2.2536144363636299</v>
      </c>
    </row>
    <row r="82" spans="1:14" x14ac:dyDescent="0.3">
      <c r="A82" t="s">
        <v>465</v>
      </c>
      <c r="B82" t="s">
        <v>12</v>
      </c>
      <c r="C82">
        <v>0.32135641176470497</v>
      </c>
      <c r="L82" t="s">
        <v>641</v>
      </c>
      <c r="M82" t="s">
        <v>12</v>
      </c>
      <c r="N82">
        <v>2.2142235648148101</v>
      </c>
    </row>
    <row r="83" spans="1:14" x14ac:dyDescent="0.3">
      <c r="A83" t="s">
        <v>458</v>
      </c>
      <c r="B83" t="s">
        <v>12</v>
      </c>
      <c r="C83">
        <v>0.32135888235294102</v>
      </c>
      <c r="L83" t="s">
        <v>651</v>
      </c>
      <c r="M83" t="s">
        <v>12</v>
      </c>
      <c r="N83">
        <v>2.2216124403669699</v>
      </c>
    </row>
    <row r="84" spans="1:14" x14ac:dyDescent="0.3">
      <c r="A84" t="s">
        <v>466</v>
      </c>
      <c r="B84" t="s">
        <v>12</v>
      </c>
      <c r="C84">
        <v>0.32149970588235299</v>
      </c>
      <c r="L84" t="s">
        <v>647</v>
      </c>
      <c r="M84" t="s">
        <v>12</v>
      </c>
      <c r="N84">
        <v>2.1691445566037699</v>
      </c>
    </row>
    <row r="85" spans="1:14" x14ac:dyDescent="0.3">
      <c r="A85" t="s">
        <v>448</v>
      </c>
      <c r="B85" t="s">
        <v>12</v>
      </c>
      <c r="C85">
        <v>0.32178058823529399</v>
      </c>
      <c r="L85" t="s">
        <v>633</v>
      </c>
      <c r="M85" t="s">
        <v>12</v>
      </c>
      <c r="N85">
        <v>2.17212011926605</v>
      </c>
    </row>
    <row r="86" spans="1:14" x14ac:dyDescent="0.3">
      <c r="A86" t="s">
        <v>452</v>
      </c>
      <c r="B86" t="s">
        <v>12</v>
      </c>
      <c r="C86">
        <v>0.32162682352941102</v>
      </c>
      <c r="L86" t="s">
        <v>649</v>
      </c>
      <c r="M86" t="s">
        <v>12</v>
      </c>
      <c r="N86">
        <v>2.2372996788990802</v>
      </c>
    </row>
    <row r="87" spans="1:14" x14ac:dyDescent="0.3">
      <c r="A87" t="s">
        <v>455</v>
      </c>
      <c r="B87" t="s">
        <v>12</v>
      </c>
      <c r="C87">
        <v>0.32246294117647001</v>
      </c>
      <c r="L87" t="s">
        <v>632</v>
      </c>
      <c r="M87" t="s">
        <v>12</v>
      </c>
      <c r="N87">
        <v>2.1721451981132001</v>
      </c>
    </row>
    <row r="88" spans="1:14" x14ac:dyDescent="0.3">
      <c r="A88" t="s">
        <v>446</v>
      </c>
      <c r="B88" t="s">
        <v>12</v>
      </c>
      <c r="C88">
        <v>0.32254470588235201</v>
      </c>
      <c r="L88" t="s">
        <v>629</v>
      </c>
      <c r="M88" t="s">
        <v>12</v>
      </c>
      <c r="N88">
        <v>2.2692110625000002</v>
      </c>
    </row>
    <row r="89" spans="1:14" x14ac:dyDescent="0.3">
      <c r="A89" t="s">
        <v>471</v>
      </c>
      <c r="B89" t="s">
        <v>12</v>
      </c>
      <c r="C89">
        <v>0.32234494117647</v>
      </c>
      <c r="L89" t="s">
        <v>623</v>
      </c>
      <c r="M89" t="s">
        <v>12</v>
      </c>
      <c r="N89">
        <v>2.2550884090909</v>
      </c>
    </row>
    <row r="90" spans="1:14" x14ac:dyDescent="0.3">
      <c r="A90" t="s">
        <v>449</v>
      </c>
      <c r="B90" t="s">
        <v>12</v>
      </c>
      <c r="C90">
        <v>0.321854588235294</v>
      </c>
      <c r="L90" t="s">
        <v>650</v>
      </c>
      <c r="M90" t="s">
        <v>12</v>
      </c>
      <c r="N90">
        <v>2.2297130438596402</v>
      </c>
    </row>
    <row r="91" spans="1:14" x14ac:dyDescent="0.3">
      <c r="A91" t="s">
        <v>445</v>
      </c>
      <c r="B91" t="s">
        <v>12</v>
      </c>
      <c r="C91">
        <v>0.322651176470588</v>
      </c>
      <c r="L91" t="s">
        <v>642</v>
      </c>
      <c r="M91" t="s">
        <v>12</v>
      </c>
      <c r="N91">
        <v>2.1964866448598102</v>
      </c>
    </row>
    <row r="92" spans="1:14" x14ac:dyDescent="0.3">
      <c r="A92" t="s">
        <v>457</v>
      </c>
      <c r="B92" t="s">
        <v>12</v>
      </c>
      <c r="C92">
        <v>0.32285364705882302</v>
      </c>
      <c r="L92" t="s">
        <v>625</v>
      </c>
      <c r="M92" t="s">
        <v>12</v>
      </c>
      <c r="N92">
        <v>2.2199176666666598</v>
      </c>
    </row>
    <row r="93" spans="1:14" x14ac:dyDescent="0.3">
      <c r="A93" t="s">
        <v>463</v>
      </c>
      <c r="B93" t="s">
        <v>12</v>
      </c>
      <c r="C93">
        <v>0.32252164705882302</v>
      </c>
      <c r="L93" t="s">
        <v>635</v>
      </c>
      <c r="M93" t="s">
        <v>12</v>
      </c>
      <c r="N93">
        <v>2.1975388504672799</v>
      </c>
    </row>
    <row r="94" spans="1:14" x14ac:dyDescent="0.3">
      <c r="A94" t="s">
        <v>467</v>
      </c>
      <c r="B94" t="s">
        <v>12</v>
      </c>
      <c r="C94">
        <v>0.32153799999999999</v>
      </c>
      <c r="L94" t="s">
        <v>640</v>
      </c>
      <c r="M94" t="s">
        <v>12</v>
      </c>
      <c r="N94">
        <v>2.1500797523809498</v>
      </c>
    </row>
    <row r="95" spans="1:14" x14ac:dyDescent="0.3">
      <c r="A95" t="s">
        <v>460</v>
      </c>
      <c r="B95" t="s">
        <v>12</v>
      </c>
      <c r="C95">
        <v>0.32182994117647001</v>
      </c>
      <c r="L95" t="s">
        <v>639</v>
      </c>
      <c r="M95" t="s">
        <v>12</v>
      </c>
      <c r="N95">
        <v>2.2582691491228002</v>
      </c>
    </row>
    <row r="96" spans="1:14" x14ac:dyDescent="0.3">
      <c r="A96" t="s">
        <v>451</v>
      </c>
      <c r="B96" t="s">
        <v>12</v>
      </c>
      <c r="C96">
        <v>0.322462588235294</v>
      </c>
      <c r="L96" t="s">
        <v>636</v>
      </c>
      <c r="M96" t="s">
        <v>12</v>
      </c>
      <c r="N96">
        <v>2.1958344672897101</v>
      </c>
    </row>
    <row r="97" spans="1:21" x14ac:dyDescent="0.3">
      <c r="A97" t="s">
        <v>468</v>
      </c>
      <c r="B97" t="s">
        <v>12</v>
      </c>
      <c r="C97">
        <v>0.32303041176470498</v>
      </c>
      <c r="L97" t="s">
        <v>644</v>
      </c>
      <c r="M97" t="s">
        <v>12</v>
      </c>
      <c r="N97">
        <v>2.2195448333333299</v>
      </c>
    </row>
    <row r="98" spans="1:21" x14ac:dyDescent="0.3">
      <c r="A98" t="s">
        <v>453</v>
      </c>
      <c r="B98" t="s">
        <v>12</v>
      </c>
      <c r="C98">
        <v>0.32214417647058802</v>
      </c>
      <c r="L98" t="s">
        <v>648</v>
      </c>
      <c r="M98" t="s">
        <v>12</v>
      </c>
      <c r="N98">
        <v>2.17821563636363</v>
      </c>
    </row>
    <row r="99" spans="1:21" x14ac:dyDescent="0.3">
      <c r="A99" t="s">
        <v>470</v>
      </c>
      <c r="B99" t="s">
        <v>12</v>
      </c>
      <c r="C99">
        <v>0.322831647058823</v>
      </c>
      <c r="L99" t="s">
        <v>645</v>
      </c>
      <c r="M99" t="s">
        <v>12</v>
      </c>
      <c r="N99">
        <v>2.1990878411214898</v>
      </c>
    </row>
    <row r="100" spans="1:21" x14ac:dyDescent="0.3">
      <c r="A100" t="s">
        <v>464</v>
      </c>
      <c r="B100" t="s">
        <v>12</v>
      </c>
      <c r="C100">
        <v>0.32243052941176398</v>
      </c>
      <c r="L100" t="s">
        <v>638</v>
      </c>
      <c r="M100" t="s">
        <v>12</v>
      </c>
      <c r="N100">
        <v>2.2402265535714201</v>
      </c>
    </row>
    <row r="101" spans="1:21" x14ac:dyDescent="0.3">
      <c r="A101" t="s">
        <v>450</v>
      </c>
      <c r="B101" t="s">
        <v>12</v>
      </c>
      <c r="C101">
        <v>0.32271288235294099</v>
      </c>
      <c r="L101" t="s">
        <v>631</v>
      </c>
      <c r="M101" t="s">
        <v>12</v>
      </c>
      <c r="N101">
        <v>2.2184078796296198</v>
      </c>
    </row>
    <row r="102" spans="1:21" x14ac:dyDescent="0.3">
      <c r="A102" t="s">
        <v>18</v>
      </c>
      <c r="B102" t="s">
        <v>12</v>
      </c>
      <c r="C102">
        <v>0.32244782352941098</v>
      </c>
      <c r="L102" t="s">
        <v>630</v>
      </c>
      <c r="M102" t="s">
        <v>12</v>
      </c>
      <c r="N102">
        <v>2.2411836785714199</v>
      </c>
    </row>
    <row r="103" spans="1:21" x14ac:dyDescent="0.3">
      <c r="A103" t="s">
        <v>456</v>
      </c>
      <c r="B103" t="s">
        <v>12</v>
      </c>
      <c r="C103">
        <v>0.32318194117646998</v>
      </c>
      <c r="L103" t="s">
        <v>626</v>
      </c>
      <c r="M103" t="s">
        <v>12</v>
      </c>
      <c r="N103">
        <v>2.22323830555555</v>
      </c>
    </row>
    <row r="104" spans="1:21" x14ac:dyDescent="0.3">
      <c r="A104" t="s">
        <v>454</v>
      </c>
      <c r="B104" t="s">
        <v>12</v>
      </c>
      <c r="C104">
        <v>0.32395311764705798</v>
      </c>
      <c r="L104" t="s">
        <v>637</v>
      </c>
      <c r="M104" t="s">
        <v>12</v>
      </c>
      <c r="N104">
        <v>2.2567619181818102</v>
      </c>
    </row>
    <row r="105" spans="1:21" x14ac:dyDescent="0.3">
      <c r="A105" t="s">
        <v>461</v>
      </c>
      <c r="B105" t="s">
        <v>12</v>
      </c>
      <c r="C105">
        <v>0.32213311764705799</v>
      </c>
      <c r="L105" t="s">
        <v>646</v>
      </c>
      <c r="M105" t="s">
        <v>12</v>
      </c>
      <c r="N105">
        <v>2.22593376146789</v>
      </c>
    </row>
    <row r="106" spans="1:21" x14ac:dyDescent="0.3">
      <c r="A106" t="s">
        <v>444</v>
      </c>
      <c r="B106" t="s">
        <v>12</v>
      </c>
      <c r="C106">
        <v>0.32264776470588202</v>
      </c>
      <c r="L106" t="s">
        <v>622</v>
      </c>
      <c r="M106" t="s">
        <v>12</v>
      </c>
      <c r="N106">
        <v>2.1992362149532698</v>
      </c>
    </row>
    <row r="107" spans="1:21" x14ac:dyDescent="0.3">
      <c r="A107" t="s">
        <v>408</v>
      </c>
      <c r="B107" t="s">
        <v>12</v>
      </c>
      <c r="C107">
        <v>0.32223790588235202</v>
      </c>
      <c r="L107" t="s">
        <v>408</v>
      </c>
      <c r="M107" t="s">
        <v>12</v>
      </c>
      <c r="N107">
        <v>2.2183417560305299</v>
      </c>
    </row>
    <row r="111" spans="1:21" x14ac:dyDescent="0.3">
      <c r="A111" t="s">
        <v>0</v>
      </c>
      <c r="B111" t="s">
        <v>1</v>
      </c>
      <c r="C111" t="s">
        <v>8</v>
      </c>
      <c r="F111" t="s">
        <v>341</v>
      </c>
      <c r="G111" t="s">
        <v>342</v>
      </c>
      <c r="H111" t="s">
        <v>409</v>
      </c>
      <c r="I111" t="s">
        <v>410</v>
      </c>
      <c r="J111" t="s">
        <v>412</v>
      </c>
      <c r="L111" t="s">
        <v>0</v>
      </c>
      <c r="M111" t="s">
        <v>1</v>
      </c>
      <c r="N111" t="s">
        <v>8</v>
      </c>
      <c r="Q111" t="s">
        <v>341</v>
      </c>
      <c r="R111" t="s">
        <v>342</v>
      </c>
      <c r="S111" t="s">
        <v>409</v>
      </c>
      <c r="T111" t="s">
        <v>410</v>
      </c>
      <c r="U111" t="s">
        <v>412</v>
      </c>
    </row>
    <row r="112" spans="1:21" x14ac:dyDescent="0.3">
      <c r="A112" t="s">
        <v>500</v>
      </c>
      <c r="B112" t="s">
        <v>12</v>
      </c>
      <c r="C112">
        <v>72.981906064050094</v>
      </c>
      <c r="E112" t="s">
        <v>15</v>
      </c>
      <c r="F112">
        <f>AVERAGE(C112:C141)</f>
        <v>74.386478576778913</v>
      </c>
      <c r="G112">
        <f>_xlfn.STDEV.S(C112:C141)</f>
        <v>0.43219774032596142</v>
      </c>
      <c r="H112">
        <f>G112/F112*100</f>
        <v>0.58101653498742145</v>
      </c>
      <c r="I112">
        <f>1/F112</f>
        <v>1.344330339508998E-2</v>
      </c>
      <c r="J112">
        <f>_xlfn.T.DIST.2T(0.05,29)*G112/SQRT(30)</f>
        <v>7.5788531288206271E-2</v>
      </c>
      <c r="L112" t="s">
        <v>672</v>
      </c>
      <c r="M112" t="s">
        <v>12</v>
      </c>
      <c r="N112">
        <v>3.88223305263157</v>
      </c>
      <c r="P112" t="s">
        <v>275</v>
      </c>
      <c r="Q112">
        <f>AVERAGE(N112:N141)</f>
        <v>3.8487147226592118</v>
      </c>
      <c r="R112">
        <f>_xlfn.STDEV.S(N112:N141)</f>
        <v>6.3342234052933724E-2</v>
      </c>
      <c r="S112">
        <f>R112/Q112*100</f>
        <v>1.6458022643249681</v>
      </c>
      <c r="T112">
        <f>1/Q112</f>
        <v>0.25982699993650477</v>
      </c>
      <c r="U112">
        <f>_xlfn.T.DIST.2T(0.05,29)*R112/SQRT(30)</f>
        <v>1.1107450223513553E-2</v>
      </c>
    </row>
    <row r="113" spans="1:14" x14ac:dyDescent="0.3">
      <c r="A113" t="s">
        <v>481</v>
      </c>
      <c r="B113" t="s">
        <v>12</v>
      </c>
      <c r="C113">
        <v>73.708467277203397</v>
      </c>
      <c r="L113" t="s">
        <v>662</v>
      </c>
      <c r="M113" t="s">
        <v>12</v>
      </c>
      <c r="N113">
        <v>3.7575627956989202</v>
      </c>
    </row>
    <row r="114" spans="1:14" x14ac:dyDescent="0.3">
      <c r="A114" t="s">
        <v>487</v>
      </c>
      <c r="B114" t="s">
        <v>12</v>
      </c>
      <c r="C114">
        <v>73.736394611156399</v>
      </c>
      <c r="L114" t="s">
        <v>661</v>
      </c>
      <c r="M114" t="s">
        <v>12</v>
      </c>
      <c r="N114">
        <v>3.7977900106951799</v>
      </c>
    </row>
    <row r="115" spans="1:14" x14ac:dyDescent="0.3">
      <c r="A115" t="s">
        <v>474</v>
      </c>
      <c r="B115" t="s">
        <v>12</v>
      </c>
      <c r="C115">
        <v>74.252405248028197</v>
      </c>
      <c r="L115" t="s">
        <v>666</v>
      </c>
      <c r="M115" t="s">
        <v>12</v>
      </c>
      <c r="N115">
        <v>3.8061889731182799</v>
      </c>
    </row>
    <row r="116" spans="1:14" x14ac:dyDescent="0.3">
      <c r="A116" t="s">
        <v>486</v>
      </c>
      <c r="B116" t="s">
        <v>12</v>
      </c>
      <c r="C116">
        <v>74.269669031478898</v>
      </c>
      <c r="L116" t="s">
        <v>654</v>
      </c>
      <c r="M116" t="s">
        <v>12</v>
      </c>
      <c r="N116">
        <v>3.87453499470899</v>
      </c>
    </row>
    <row r="117" spans="1:14" x14ac:dyDescent="0.3">
      <c r="A117" t="s">
        <v>495</v>
      </c>
      <c r="B117" t="s">
        <v>12</v>
      </c>
      <c r="C117">
        <v>74.130200901305003</v>
      </c>
      <c r="L117" t="s">
        <v>658</v>
      </c>
      <c r="M117" t="s">
        <v>12</v>
      </c>
      <c r="N117">
        <v>3.9339831249999899</v>
      </c>
    </row>
    <row r="118" spans="1:14" x14ac:dyDescent="0.3">
      <c r="A118" t="s">
        <v>494</v>
      </c>
      <c r="B118" t="s">
        <v>12</v>
      </c>
      <c r="C118">
        <v>74.040257012813498</v>
      </c>
      <c r="L118" t="s">
        <v>674</v>
      </c>
      <c r="M118" t="s">
        <v>12</v>
      </c>
      <c r="N118">
        <v>3.90351078010471</v>
      </c>
    </row>
    <row r="119" spans="1:14" x14ac:dyDescent="0.3">
      <c r="A119" t="s">
        <v>497</v>
      </c>
      <c r="B119" t="s">
        <v>12</v>
      </c>
      <c r="C119">
        <v>74.222798455262406</v>
      </c>
      <c r="L119" t="s">
        <v>652</v>
      </c>
      <c r="M119" t="s">
        <v>12</v>
      </c>
      <c r="N119">
        <v>3.8619861063829699</v>
      </c>
    </row>
    <row r="120" spans="1:14" x14ac:dyDescent="0.3">
      <c r="A120" t="s">
        <v>476</v>
      </c>
      <c r="B120" t="s">
        <v>12</v>
      </c>
      <c r="C120">
        <v>74.280216213877495</v>
      </c>
      <c r="L120" t="s">
        <v>673</v>
      </c>
      <c r="M120" t="s">
        <v>12</v>
      </c>
      <c r="N120">
        <v>3.8178126774193499</v>
      </c>
    </row>
    <row r="121" spans="1:14" x14ac:dyDescent="0.3">
      <c r="A121" t="s">
        <v>492</v>
      </c>
      <c r="B121" t="s">
        <v>12</v>
      </c>
      <c r="C121">
        <v>74.236266284897894</v>
      </c>
      <c r="L121" t="s">
        <v>663</v>
      </c>
      <c r="M121" t="s">
        <v>12</v>
      </c>
      <c r="N121">
        <v>3.9203181250000001</v>
      </c>
    </row>
    <row r="122" spans="1:14" x14ac:dyDescent="0.3">
      <c r="A122" t="s">
        <v>483</v>
      </c>
      <c r="B122" t="s">
        <v>12</v>
      </c>
      <c r="C122">
        <v>74.127636838191194</v>
      </c>
      <c r="L122" t="s">
        <v>681</v>
      </c>
      <c r="M122" t="s">
        <v>12</v>
      </c>
      <c r="N122">
        <v>3.8578230744680799</v>
      </c>
    </row>
    <row r="123" spans="1:14" x14ac:dyDescent="0.3">
      <c r="A123" t="s">
        <v>493</v>
      </c>
      <c r="B123" t="s">
        <v>12</v>
      </c>
      <c r="C123">
        <v>74.0512345734532</v>
      </c>
      <c r="L123" t="s">
        <v>655</v>
      </c>
      <c r="M123" t="s">
        <v>12</v>
      </c>
      <c r="N123">
        <v>3.9025307656249999</v>
      </c>
    </row>
    <row r="124" spans="1:14" x14ac:dyDescent="0.3">
      <c r="A124" t="s">
        <v>496</v>
      </c>
      <c r="B124" t="s">
        <v>12</v>
      </c>
      <c r="C124">
        <v>74.666349578775495</v>
      </c>
      <c r="L124" t="s">
        <v>656</v>
      </c>
      <c r="M124" t="s">
        <v>12</v>
      </c>
      <c r="N124">
        <v>3.7711211467391301</v>
      </c>
    </row>
    <row r="125" spans="1:14" x14ac:dyDescent="0.3">
      <c r="A125" t="s">
        <v>485</v>
      </c>
      <c r="B125" t="s">
        <v>12</v>
      </c>
      <c r="C125">
        <v>74.790315679706595</v>
      </c>
      <c r="L125" t="s">
        <v>670</v>
      </c>
      <c r="M125" t="s">
        <v>12</v>
      </c>
      <c r="N125">
        <v>3.8013723351351301</v>
      </c>
    </row>
    <row r="126" spans="1:14" x14ac:dyDescent="0.3">
      <c r="A126" t="s">
        <v>498</v>
      </c>
      <c r="B126" t="s">
        <v>12</v>
      </c>
      <c r="C126">
        <v>74.987086374356196</v>
      </c>
      <c r="L126" t="s">
        <v>665</v>
      </c>
      <c r="M126" t="s">
        <v>12</v>
      </c>
      <c r="N126">
        <v>3.8692993227513202</v>
      </c>
    </row>
    <row r="127" spans="1:14" x14ac:dyDescent="0.3">
      <c r="A127" t="s">
        <v>491</v>
      </c>
      <c r="B127" t="s">
        <v>12</v>
      </c>
      <c r="C127">
        <v>74.226430324618704</v>
      </c>
      <c r="L127" t="s">
        <v>653</v>
      </c>
      <c r="M127" t="s">
        <v>12</v>
      </c>
      <c r="N127">
        <v>3.8256432956989199</v>
      </c>
    </row>
    <row r="128" spans="1:14" x14ac:dyDescent="0.3">
      <c r="A128" t="s">
        <v>473</v>
      </c>
      <c r="B128" t="s">
        <v>12</v>
      </c>
      <c r="C128">
        <v>74.577946978284402</v>
      </c>
      <c r="L128" t="s">
        <v>669</v>
      </c>
      <c r="M128" t="s">
        <v>12</v>
      </c>
      <c r="N128">
        <v>3.8133354354838702</v>
      </c>
    </row>
    <row r="129" spans="1:14" x14ac:dyDescent="0.3">
      <c r="A129" t="s">
        <v>499</v>
      </c>
      <c r="B129" t="s">
        <v>12</v>
      </c>
      <c r="C129">
        <v>74.455616693166306</v>
      </c>
      <c r="L129" t="s">
        <v>671</v>
      </c>
      <c r="M129" t="s">
        <v>12</v>
      </c>
      <c r="N129">
        <v>3.8129423829787199</v>
      </c>
    </row>
    <row r="130" spans="1:14" x14ac:dyDescent="0.3">
      <c r="A130" t="s">
        <v>482</v>
      </c>
      <c r="B130" t="s">
        <v>12</v>
      </c>
      <c r="C130">
        <v>74.403371826205401</v>
      </c>
      <c r="L130" t="s">
        <v>660</v>
      </c>
      <c r="M130" t="s">
        <v>12</v>
      </c>
      <c r="N130">
        <v>3.9674369948186499</v>
      </c>
    </row>
    <row r="131" spans="1:14" x14ac:dyDescent="0.3">
      <c r="A131" t="s">
        <v>479</v>
      </c>
      <c r="B131" t="s">
        <v>12</v>
      </c>
      <c r="C131">
        <v>74.495818809627394</v>
      </c>
      <c r="L131" t="s">
        <v>679</v>
      </c>
      <c r="M131" t="s">
        <v>12</v>
      </c>
      <c r="N131">
        <v>3.8621682074467998</v>
      </c>
    </row>
    <row r="132" spans="1:14" x14ac:dyDescent="0.3">
      <c r="A132" t="s">
        <v>472</v>
      </c>
      <c r="B132" t="s">
        <v>12</v>
      </c>
      <c r="C132">
        <v>74.551499673286102</v>
      </c>
      <c r="L132" t="s">
        <v>675</v>
      </c>
      <c r="M132" t="s">
        <v>12</v>
      </c>
      <c r="N132">
        <v>3.67859729608938</v>
      </c>
    </row>
    <row r="133" spans="1:14" x14ac:dyDescent="0.3">
      <c r="A133" t="s">
        <v>478</v>
      </c>
      <c r="B133" t="s">
        <v>12</v>
      </c>
      <c r="C133">
        <v>74.3555154782253</v>
      </c>
      <c r="L133" t="s">
        <v>680</v>
      </c>
      <c r="M133" t="s">
        <v>12</v>
      </c>
      <c r="N133">
        <v>3.9034049157894701</v>
      </c>
    </row>
    <row r="134" spans="1:14" x14ac:dyDescent="0.3">
      <c r="A134" t="s">
        <v>484</v>
      </c>
      <c r="B134" t="s">
        <v>12</v>
      </c>
      <c r="C134">
        <v>74.769010518860199</v>
      </c>
      <c r="L134" t="s">
        <v>678</v>
      </c>
      <c r="M134" t="s">
        <v>12</v>
      </c>
      <c r="N134">
        <v>3.89811837368421</v>
      </c>
    </row>
    <row r="135" spans="1:14" x14ac:dyDescent="0.3">
      <c r="A135" t="s">
        <v>488</v>
      </c>
      <c r="B135" t="s">
        <v>12</v>
      </c>
      <c r="C135">
        <v>74.567363050461196</v>
      </c>
      <c r="L135" t="s">
        <v>664</v>
      </c>
      <c r="M135" t="s">
        <v>12</v>
      </c>
      <c r="N135">
        <v>3.89653948947368</v>
      </c>
    </row>
    <row r="136" spans="1:14" x14ac:dyDescent="0.3">
      <c r="A136" t="s">
        <v>501</v>
      </c>
      <c r="B136" t="s">
        <v>12</v>
      </c>
      <c r="C136">
        <v>74.835008586132105</v>
      </c>
      <c r="L136" t="s">
        <v>657</v>
      </c>
      <c r="M136" t="s">
        <v>12</v>
      </c>
      <c r="N136">
        <v>3.8434621904761901</v>
      </c>
    </row>
    <row r="137" spans="1:14" x14ac:dyDescent="0.3">
      <c r="A137" t="s">
        <v>489</v>
      </c>
      <c r="B137" t="s">
        <v>12</v>
      </c>
      <c r="C137">
        <v>74.745942446918207</v>
      </c>
      <c r="L137" t="s">
        <v>668</v>
      </c>
      <c r="M137" t="s">
        <v>12</v>
      </c>
      <c r="N137">
        <v>3.7872710760869501</v>
      </c>
    </row>
    <row r="138" spans="1:14" x14ac:dyDescent="0.3">
      <c r="A138" t="s">
        <v>480</v>
      </c>
      <c r="B138" t="s">
        <v>12</v>
      </c>
      <c r="C138">
        <v>74.458949348501307</v>
      </c>
      <c r="L138" t="s">
        <v>667</v>
      </c>
      <c r="M138" t="s">
        <v>12</v>
      </c>
      <c r="N138">
        <v>3.82762496236559</v>
      </c>
    </row>
    <row r="139" spans="1:14" x14ac:dyDescent="0.3">
      <c r="A139" t="s">
        <v>475</v>
      </c>
      <c r="B139" t="s">
        <v>12</v>
      </c>
      <c r="C139">
        <v>74.828277349877894</v>
      </c>
      <c r="L139" t="s">
        <v>676</v>
      </c>
      <c r="M139" t="s">
        <v>12</v>
      </c>
      <c r="N139">
        <v>3.7627676994535499</v>
      </c>
    </row>
    <row r="140" spans="1:14" x14ac:dyDescent="0.3">
      <c r="A140" t="s">
        <v>477</v>
      </c>
      <c r="B140" t="s">
        <v>12</v>
      </c>
      <c r="C140">
        <v>75.159266903809694</v>
      </c>
      <c r="L140" t="s">
        <v>659</v>
      </c>
      <c r="M140" t="s">
        <v>12</v>
      </c>
      <c r="N140">
        <v>3.9138991473684199</v>
      </c>
    </row>
    <row r="141" spans="1:14" x14ac:dyDescent="0.3">
      <c r="A141" t="s">
        <v>490</v>
      </c>
      <c r="B141" t="s">
        <v>12</v>
      </c>
      <c r="C141">
        <v>74.683135170837801</v>
      </c>
      <c r="L141" t="s">
        <v>677</v>
      </c>
      <c r="M141" t="s">
        <v>12</v>
      </c>
      <c r="N141">
        <v>3.9101629270833298</v>
      </c>
    </row>
    <row r="142" spans="1:14" x14ac:dyDescent="0.3">
      <c r="A142" t="s">
        <v>408</v>
      </c>
      <c r="B142" t="s">
        <v>12</v>
      </c>
      <c r="C142">
        <v>74.387072840620903</v>
      </c>
      <c r="L142" t="s">
        <v>408</v>
      </c>
      <c r="M142" t="s">
        <v>12</v>
      </c>
      <c r="N142">
        <v>3.8497055139209002</v>
      </c>
    </row>
    <row r="146" spans="1:21" x14ac:dyDescent="0.3">
      <c r="A146" t="s">
        <v>0</v>
      </c>
      <c r="B146" t="s">
        <v>1</v>
      </c>
      <c r="C146" t="s">
        <v>8</v>
      </c>
      <c r="F146" t="s">
        <v>341</v>
      </c>
      <c r="G146" t="s">
        <v>342</v>
      </c>
      <c r="H146" t="s">
        <v>409</v>
      </c>
      <c r="I146" t="s">
        <v>410</v>
      </c>
      <c r="J146" t="s">
        <v>412</v>
      </c>
      <c r="L146" t="s">
        <v>0</v>
      </c>
      <c r="M146" t="s">
        <v>1</v>
      </c>
      <c r="N146" t="s">
        <v>8</v>
      </c>
      <c r="Q146" t="s">
        <v>341</v>
      </c>
      <c r="R146" t="s">
        <v>342</v>
      </c>
      <c r="S146" t="s">
        <v>409</v>
      </c>
      <c r="T146" t="s">
        <v>410</v>
      </c>
      <c r="U146" t="s">
        <v>412</v>
      </c>
    </row>
    <row r="147" spans="1:21" x14ac:dyDescent="0.3">
      <c r="A147" t="s">
        <v>513</v>
      </c>
      <c r="B147" t="s">
        <v>12</v>
      </c>
      <c r="C147">
        <v>23.416965865659101</v>
      </c>
      <c r="E147" t="s">
        <v>20</v>
      </c>
      <c r="F147">
        <f>AVERAGE(C147:C176)</f>
        <v>23.660970111957347</v>
      </c>
      <c r="G147">
        <f>_xlfn.STDEV.S(C147:C176)</f>
        <v>9.1099803407905952E-2</v>
      </c>
      <c r="H147">
        <f>G147/F147*100</f>
        <v>0.38502142125553679</v>
      </c>
      <c r="I147">
        <f>1/F147</f>
        <v>4.226369397654741E-2</v>
      </c>
      <c r="J147">
        <f>_xlfn.T.DIST.2T(0.05,29)*G147/SQRT(30)</f>
        <v>1.597491068722922E-2</v>
      </c>
      <c r="L147" t="s">
        <v>704</v>
      </c>
      <c r="M147" t="s">
        <v>12</v>
      </c>
      <c r="N147">
        <v>119.38870141714899</v>
      </c>
      <c r="P147" t="s">
        <v>306</v>
      </c>
      <c r="Q147">
        <f>AVERAGE(N147:N176)</f>
        <v>120.50303490061819</v>
      </c>
      <c r="R147">
        <f>_xlfn.STDEV.S(N147:N176)</f>
        <v>0.87597222974580558</v>
      </c>
      <c r="S147">
        <f>R147/Q147*100</f>
        <v>0.72692960012852903</v>
      </c>
      <c r="T147">
        <f>1/Q147</f>
        <v>8.2985461803905987E-3</v>
      </c>
      <c r="U147">
        <f>_xlfn.T.DIST.2T(0.05,29)*R147/SQRT(30)</f>
        <v>0.1536071167137982</v>
      </c>
    </row>
    <row r="148" spans="1:21" x14ac:dyDescent="0.3">
      <c r="A148" t="s">
        <v>523</v>
      </c>
      <c r="B148" t="s">
        <v>12</v>
      </c>
      <c r="C148">
        <v>23.671235876871801</v>
      </c>
      <c r="L148" t="s">
        <v>709</v>
      </c>
      <c r="M148" t="s">
        <v>12</v>
      </c>
      <c r="N148">
        <v>119.832644006813</v>
      </c>
    </row>
    <row r="149" spans="1:21" x14ac:dyDescent="0.3">
      <c r="A149" t="s">
        <v>502</v>
      </c>
      <c r="B149" t="s">
        <v>12</v>
      </c>
      <c r="C149">
        <v>23.655450102500001</v>
      </c>
      <c r="L149" t="s">
        <v>696</v>
      </c>
      <c r="M149" t="s">
        <v>12</v>
      </c>
      <c r="N149">
        <v>120.004465590382</v>
      </c>
    </row>
    <row r="150" spans="1:21" x14ac:dyDescent="0.3">
      <c r="A150" t="s">
        <v>516</v>
      </c>
      <c r="B150" t="s">
        <v>12</v>
      </c>
      <c r="C150">
        <v>23.687931167913501</v>
      </c>
      <c r="L150" t="s">
        <v>711</v>
      </c>
      <c r="M150" t="s">
        <v>12</v>
      </c>
      <c r="N150">
        <v>124.305906610481</v>
      </c>
    </row>
    <row r="151" spans="1:21" x14ac:dyDescent="0.3">
      <c r="A151" t="s">
        <v>505</v>
      </c>
      <c r="B151" t="s">
        <v>12</v>
      </c>
      <c r="C151">
        <v>23.551280146443499</v>
      </c>
      <c r="L151" t="s">
        <v>688</v>
      </c>
      <c r="M151" t="s">
        <v>12</v>
      </c>
      <c r="N151">
        <v>120.35015071715399</v>
      </c>
    </row>
    <row r="152" spans="1:21" x14ac:dyDescent="0.3">
      <c r="A152" t="s">
        <v>521</v>
      </c>
      <c r="B152" t="s">
        <v>12</v>
      </c>
      <c r="C152">
        <v>23.592006820920499</v>
      </c>
      <c r="L152" t="s">
        <v>694</v>
      </c>
      <c r="M152" t="s">
        <v>12</v>
      </c>
      <c r="N152">
        <v>119.809641040184</v>
      </c>
    </row>
    <row r="153" spans="1:21" x14ac:dyDescent="0.3">
      <c r="A153" t="s">
        <v>517</v>
      </c>
      <c r="B153" t="s">
        <v>12</v>
      </c>
      <c r="C153">
        <v>23.621894845188201</v>
      </c>
      <c r="L153" t="s">
        <v>689</v>
      </c>
      <c r="M153" t="s">
        <v>12</v>
      </c>
      <c r="N153">
        <v>120.36850848275201</v>
      </c>
    </row>
    <row r="154" spans="1:21" x14ac:dyDescent="0.3">
      <c r="A154" t="s">
        <v>514</v>
      </c>
      <c r="B154" t="s">
        <v>12</v>
      </c>
      <c r="C154">
        <v>23.712407850124801</v>
      </c>
      <c r="L154" t="s">
        <v>690</v>
      </c>
      <c r="M154" t="s">
        <v>12</v>
      </c>
      <c r="N154">
        <v>120.273571041163</v>
      </c>
    </row>
    <row r="155" spans="1:21" x14ac:dyDescent="0.3">
      <c r="A155" t="s">
        <v>524</v>
      </c>
      <c r="B155" t="s">
        <v>12</v>
      </c>
      <c r="C155">
        <v>23.736091553156101</v>
      </c>
      <c r="L155" t="s">
        <v>686</v>
      </c>
      <c r="M155" t="s">
        <v>12</v>
      </c>
      <c r="N155">
        <v>120.622013863459</v>
      </c>
    </row>
    <row r="156" spans="1:21" x14ac:dyDescent="0.3">
      <c r="A156" t="s">
        <v>510</v>
      </c>
      <c r="B156" t="s">
        <v>12</v>
      </c>
      <c r="C156">
        <v>23.709983063333301</v>
      </c>
      <c r="L156" t="s">
        <v>700</v>
      </c>
      <c r="M156" t="s">
        <v>12</v>
      </c>
      <c r="N156">
        <v>120.10293900731099</v>
      </c>
    </row>
    <row r="157" spans="1:21" x14ac:dyDescent="0.3">
      <c r="A157" t="s">
        <v>520</v>
      </c>
      <c r="B157" t="s">
        <v>12</v>
      </c>
      <c r="C157">
        <v>23.723755887593601</v>
      </c>
      <c r="L157" t="s">
        <v>692</v>
      </c>
      <c r="M157" t="s">
        <v>12</v>
      </c>
      <c r="N157">
        <v>120.251710141278</v>
      </c>
    </row>
    <row r="158" spans="1:21" x14ac:dyDescent="0.3">
      <c r="A158" t="s">
        <v>508</v>
      </c>
      <c r="B158" t="s">
        <v>12</v>
      </c>
      <c r="C158">
        <v>23.5649391518456</v>
      </c>
      <c r="L158" t="s">
        <v>682</v>
      </c>
      <c r="M158" t="s">
        <v>12</v>
      </c>
      <c r="N158">
        <v>120.169942254427</v>
      </c>
    </row>
    <row r="159" spans="1:21" x14ac:dyDescent="0.3">
      <c r="A159" t="s">
        <v>503</v>
      </c>
      <c r="B159" t="s">
        <v>12</v>
      </c>
      <c r="C159">
        <v>23.706833060833301</v>
      </c>
      <c r="L159" t="s">
        <v>693</v>
      </c>
      <c r="M159" t="s">
        <v>12</v>
      </c>
      <c r="N159">
        <v>120.153625805148</v>
      </c>
    </row>
    <row r="160" spans="1:21" x14ac:dyDescent="0.3">
      <c r="A160" t="s">
        <v>522</v>
      </c>
      <c r="B160" t="s">
        <v>12</v>
      </c>
      <c r="C160">
        <v>23.527643010915199</v>
      </c>
      <c r="L160" t="s">
        <v>710</v>
      </c>
      <c r="M160" t="s">
        <v>12</v>
      </c>
      <c r="N160">
        <v>120.36681034121</v>
      </c>
    </row>
    <row r="161" spans="1:14" x14ac:dyDescent="0.3">
      <c r="A161" t="s">
        <v>530</v>
      </c>
      <c r="B161" t="s">
        <v>12</v>
      </c>
      <c r="C161">
        <v>23.7546259186722</v>
      </c>
      <c r="L161" t="s">
        <v>707</v>
      </c>
      <c r="M161" t="s">
        <v>12</v>
      </c>
      <c r="N161">
        <v>120.242396209943</v>
      </c>
    </row>
    <row r="162" spans="1:14" x14ac:dyDescent="0.3">
      <c r="A162" t="s">
        <v>525</v>
      </c>
      <c r="B162" t="s">
        <v>12</v>
      </c>
      <c r="C162">
        <v>23.567834500838899</v>
      </c>
      <c r="L162" t="s">
        <v>698</v>
      </c>
      <c r="M162" t="s">
        <v>12</v>
      </c>
      <c r="N162">
        <v>120.48829349719</v>
      </c>
    </row>
    <row r="163" spans="1:14" x14ac:dyDescent="0.3">
      <c r="A163" t="s">
        <v>506</v>
      </c>
      <c r="B163" t="s">
        <v>12</v>
      </c>
      <c r="C163">
        <v>23.5659669815436</v>
      </c>
      <c r="L163" t="s">
        <v>685</v>
      </c>
      <c r="M163" t="s">
        <v>12</v>
      </c>
      <c r="N163">
        <v>120.356886267154</v>
      </c>
    </row>
    <row r="164" spans="1:14" x14ac:dyDescent="0.3">
      <c r="A164" t="s">
        <v>518</v>
      </c>
      <c r="B164" t="s">
        <v>12</v>
      </c>
      <c r="C164">
        <v>23.590979794462999</v>
      </c>
      <c r="L164" t="s">
        <v>687</v>
      </c>
      <c r="M164" t="s">
        <v>12</v>
      </c>
      <c r="N164">
        <v>120.57940584746</v>
      </c>
    </row>
    <row r="165" spans="1:14" x14ac:dyDescent="0.3">
      <c r="A165" t="s">
        <v>507</v>
      </c>
      <c r="B165" t="s">
        <v>12</v>
      </c>
      <c r="C165">
        <v>23.811966210657701</v>
      </c>
      <c r="L165" t="s">
        <v>701</v>
      </c>
      <c r="M165" t="s">
        <v>12</v>
      </c>
      <c r="N165">
        <v>121.22701449075799</v>
      </c>
    </row>
    <row r="166" spans="1:14" x14ac:dyDescent="0.3">
      <c r="A166" t="s">
        <v>511</v>
      </c>
      <c r="B166" t="s">
        <v>12</v>
      </c>
      <c r="C166">
        <v>23.768011044962499</v>
      </c>
      <c r="L166" t="s">
        <v>683</v>
      </c>
      <c r="M166" t="s">
        <v>12</v>
      </c>
      <c r="N166">
        <v>120.223449957337</v>
      </c>
    </row>
    <row r="167" spans="1:14" x14ac:dyDescent="0.3">
      <c r="A167" t="s">
        <v>512</v>
      </c>
      <c r="B167" t="s">
        <v>12</v>
      </c>
      <c r="C167">
        <v>23.723549118333299</v>
      </c>
      <c r="L167" t="s">
        <v>699</v>
      </c>
      <c r="M167" t="s">
        <v>12</v>
      </c>
      <c r="N167">
        <v>122.428114303882</v>
      </c>
    </row>
    <row r="168" spans="1:14" x14ac:dyDescent="0.3">
      <c r="A168" t="s">
        <v>515</v>
      </c>
      <c r="B168" t="s">
        <v>12</v>
      </c>
      <c r="C168">
        <v>23.6384500744769</v>
      </c>
      <c r="L168" t="s">
        <v>702</v>
      </c>
      <c r="M168" t="s">
        <v>12</v>
      </c>
      <c r="N168">
        <v>120.361621937351</v>
      </c>
    </row>
    <row r="169" spans="1:14" x14ac:dyDescent="0.3">
      <c r="A169" t="s">
        <v>531</v>
      </c>
      <c r="B169" t="s">
        <v>12</v>
      </c>
      <c r="C169">
        <v>23.723629970000001</v>
      </c>
      <c r="L169" t="s">
        <v>708</v>
      </c>
      <c r="M169" t="s">
        <v>12</v>
      </c>
      <c r="N169">
        <v>120.652286593771</v>
      </c>
    </row>
    <row r="170" spans="1:14" x14ac:dyDescent="0.3">
      <c r="A170" t="s">
        <v>528</v>
      </c>
      <c r="B170" t="s">
        <v>12</v>
      </c>
      <c r="C170">
        <v>23.584041927852301</v>
      </c>
      <c r="L170" t="s">
        <v>697</v>
      </c>
      <c r="M170" t="s">
        <v>12</v>
      </c>
      <c r="N170">
        <v>120.445341243914</v>
      </c>
    </row>
    <row r="171" spans="1:14" x14ac:dyDescent="0.3">
      <c r="A171" t="s">
        <v>519</v>
      </c>
      <c r="B171" t="s">
        <v>12</v>
      </c>
      <c r="C171">
        <v>23.557217400503699</v>
      </c>
      <c r="L171" t="s">
        <v>695</v>
      </c>
      <c r="M171" t="s">
        <v>12</v>
      </c>
      <c r="N171">
        <v>120.507573189308</v>
      </c>
    </row>
    <row r="172" spans="1:14" x14ac:dyDescent="0.3">
      <c r="A172" t="s">
        <v>529</v>
      </c>
      <c r="B172" t="s">
        <v>12</v>
      </c>
      <c r="C172">
        <v>23.7445907518734</v>
      </c>
      <c r="L172" t="s">
        <v>684</v>
      </c>
      <c r="M172" t="s">
        <v>12</v>
      </c>
      <c r="N172">
        <v>120.471670376828</v>
      </c>
    </row>
    <row r="173" spans="1:14" x14ac:dyDescent="0.3">
      <c r="A173" t="s">
        <v>526</v>
      </c>
      <c r="B173" t="s">
        <v>12</v>
      </c>
      <c r="C173">
        <v>23.746729016597499</v>
      </c>
      <c r="L173" t="s">
        <v>691</v>
      </c>
      <c r="M173" t="s">
        <v>12</v>
      </c>
      <c r="N173">
        <v>120.16844788567001</v>
      </c>
    </row>
    <row r="174" spans="1:14" x14ac:dyDescent="0.3">
      <c r="A174" t="s">
        <v>504</v>
      </c>
      <c r="B174" t="s">
        <v>12</v>
      </c>
      <c r="C174">
        <v>23.698703325</v>
      </c>
      <c r="L174" t="s">
        <v>703</v>
      </c>
      <c r="M174" t="s">
        <v>12</v>
      </c>
      <c r="N174">
        <v>120.094545173542</v>
      </c>
    </row>
    <row r="175" spans="1:14" x14ac:dyDescent="0.3">
      <c r="A175" t="s">
        <v>527</v>
      </c>
      <c r="B175" t="s">
        <v>12</v>
      </c>
      <c r="C175">
        <v>23.7465478347176</v>
      </c>
      <c r="L175" t="s">
        <v>705</v>
      </c>
      <c r="M175" t="s">
        <v>12</v>
      </c>
      <c r="N175">
        <v>120.272063478335</v>
      </c>
    </row>
    <row r="176" spans="1:14" x14ac:dyDescent="0.3">
      <c r="A176" t="s">
        <v>509</v>
      </c>
      <c r="B176" t="s">
        <v>12</v>
      </c>
      <c r="C176">
        <v>23.727841084929199</v>
      </c>
      <c r="L176" t="s">
        <v>706</v>
      </c>
      <c r="M176" t="s">
        <v>12</v>
      </c>
      <c r="N176">
        <v>120.571306247192</v>
      </c>
    </row>
    <row r="177" spans="1:14" x14ac:dyDescent="0.3">
      <c r="A177" t="s">
        <v>408</v>
      </c>
      <c r="B177" t="s">
        <v>12</v>
      </c>
      <c r="C177">
        <v>23.6612801598686</v>
      </c>
      <c r="L177" t="s">
        <v>408</v>
      </c>
      <c r="M177" t="s">
        <v>12</v>
      </c>
      <c r="N177">
        <v>120.509086729072</v>
      </c>
    </row>
    <row r="181" spans="1:14" x14ac:dyDescent="0.3">
      <c r="A181" t="s">
        <v>0</v>
      </c>
      <c r="B181" t="s">
        <v>1</v>
      </c>
      <c r="C181" t="s">
        <v>8</v>
      </c>
      <c r="F181" t="s">
        <v>341</v>
      </c>
      <c r="G181" t="s">
        <v>342</v>
      </c>
      <c r="H181" t="s">
        <v>409</v>
      </c>
      <c r="I181" t="s">
        <v>410</v>
      </c>
      <c r="J181" t="s">
        <v>412</v>
      </c>
    </row>
    <row r="182" spans="1:14" x14ac:dyDescent="0.3">
      <c r="A182" t="s">
        <v>561</v>
      </c>
      <c r="B182" t="s">
        <v>12</v>
      </c>
      <c r="C182">
        <v>702.16157543644397</v>
      </c>
      <c r="E182" t="s">
        <v>14</v>
      </c>
      <c r="F182">
        <f>AVERAGE(C182:C211)</f>
        <v>707.04466528063381</v>
      </c>
      <c r="G182">
        <f>_xlfn.STDEV.S(C182:C211)</f>
        <v>17.512114412677324</v>
      </c>
      <c r="H182">
        <f>G182/F182*100</f>
        <v>2.4768045461069383</v>
      </c>
      <c r="I182">
        <f>1/F182</f>
        <v>1.4143378050990442E-3</v>
      </c>
      <c r="J182">
        <f>_xlfn.T.DIST.2T(0.05,29)*G182/SQRT(30)</f>
        <v>3.0708569417481506</v>
      </c>
    </row>
    <row r="183" spans="1:14" x14ac:dyDescent="0.3">
      <c r="A183" t="s">
        <v>536</v>
      </c>
      <c r="B183" t="s">
        <v>12</v>
      </c>
      <c r="C183">
        <v>707.63933731810505</v>
      </c>
    </row>
    <row r="184" spans="1:14" x14ac:dyDescent="0.3">
      <c r="A184" t="s">
        <v>546</v>
      </c>
      <c r="B184" t="s">
        <v>12</v>
      </c>
      <c r="C184">
        <v>700.22183733713996</v>
      </c>
    </row>
    <row r="185" spans="1:14" x14ac:dyDescent="0.3">
      <c r="A185" t="s">
        <v>541</v>
      </c>
      <c r="B185" t="s">
        <v>12</v>
      </c>
      <c r="C185">
        <v>696.043729886503</v>
      </c>
    </row>
    <row r="186" spans="1:14" x14ac:dyDescent="0.3">
      <c r="A186" t="s">
        <v>547</v>
      </c>
      <c r="B186" t="s">
        <v>12</v>
      </c>
      <c r="C186">
        <v>698.52887589785803</v>
      </c>
    </row>
    <row r="187" spans="1:14" x14ac:dyDescent="0.3">
      <c r="A187" t="s">
        <v>559</v>
      </c>
      <c r="B187" t="s">
        <v>12</v>
      </c>
      <c r="C187">
        <v>704.86481675666505</v>
      </c>
    </row>
    <row r="188" spans="1:14" x14ac:dyDescent="0.3">
      <c r="A188" t="s">
        <v>539</v>
      </c>
      <c r="B188" t="s">
        <v>12</v>
      </c>
      <c r="C188">
        <v>743.28520316625895</v>
      </c>
    </row>
    <row r="189" spans="1:14" x14ac:dyDescent="0.3">
      <c r="A189" t="s">
        <v>550</v>
      </c>
      <c r="B189" t="s">
        <v>12</v>
      </c>
      <c r="C189">
        <v>731.43428904978305</v>
      </c>
    </row>
    <row r="190" spans="1:14" x14ac:dyDescent="0.3">
      <c r="A190" t="s">
        <v>534</v>
      </c>
      <c r="B190" t="s">
        <v>12</v>
      </c>
      <c r="C190">
        <v>719.35358129818701</v>
      </c>
    </row>
    <row r="191" spans="1:14" x14ac:dyDescent="0.3">
      <c r="A191" t="s">
        <v>555</v>
      </c>
      <c r="B191" t="s">
        <v>12</v>
      </c>
      <c r="C191">
        <v>713.21987343640603</v>
      </c>
    </row>
    <row r="192" spans="1:14" x14ac:dyDescent="0.3">
      <c r="A192" t="s">
        <v>556</v>
      </c>
      <c r="B192" t="s">
        <v>12</v>
      </c>
      <c r="C192">
        <v>721.86916210857703</v>
      </c>
    </row>
    <row r="193" spans="1:3" x14ac:dyDescent="0.3">
      <c r="A193" t="s">
        <v>554</v>
      </c>
      <c r="B193" t="s">
        <v>12</v>
      </c>
      <c r="C193">
        <v>712.98282061259499</v>
      </c>
    </row>
    <row r="194" spans="1:3" x14ac:dyDescent="0.3">
      <c r="A194" t="s">
        <v>552</v>
      </c>
      <c r="B194" t="s">
        <v>12</v>
      </c>
      <c r="C194">
        <v>732.45234065049203</v>
      </c>
    </row>
    <row r="195" spans="1:3" x14ac:dyDescent="0.3">
      <c r="A195" t="s">
        <v>560</v>
      </c>
      <c r="B195" t="s">
        <v>12</v>
      </c>
      <c r="C195">
        <v>693.75779437550796</v>
      </c>
    </row>
    <row r="196" spans="1:3" x14ac:dyDescent="0.3">
      <c r="A196" t="s">
        <v>543</v>
      </c>
      <c r="B196" t="s">
        <v>12</v>
      </c>
      <c r="C196">
        <v>691.58968683287299</v>
      </c>
    </row>
    <row r="197" spans="1:3" x14ac:dyDescent="0.3">
      <c r="A197" t="s">
        <v>551</v>
      </c>
      <c r="B197" t="s">
        <v>12</v>
      </c>
      <c r="C197">
        <v>720.13672409582796</v>
      </c>
    </row>
    <row r="198" spans="1:3" x14ac:dyDescent="0.3">
      <c r="A198" t="s">
        <v>538</v>
      </c>
      <c r="B198" t="s">
        <v>12</v>
      </c>
      <c r="C198">
        <v>730.13386616785397</v>
      </c>
    </row>
    <row r="199" spans="1:3" x14ac:dyDescent="0.3">
      <c r="A199" t="s">
        <v>557</v>
      </c>
      <c r="B199" t="s">
        <v>12</v>
      </c>
      <c r="C199">
        <v>715.36630304610503</v>
      </c>
    </row>
    <row r="200" spans="1:3" x14ac:dyDescent="0.3">
      <c r="A200" t="s">
        <v>532</v>
      </c>
      <c r="B200" t="s">
        <v>12</v>
      </c>
      <c r="C200">
        <v>720.05002557895705</v>
      </c>
    </row>
    <row r="201" spans="1:3" x14ac:dyDescent="0.3">
      <c r="A201" t="s">
        <v>542</v>
      </c>
      <c r="B201" t="s">
        <v>12</v>
      </c>
      <c r="C201">
        <v>676.63448972401704</v>
      </c>
    </row>
    <row r="202" spans="1:3" x14ac:dyDescent="0.3">
      <c r="A202" t="s">
        <v>549</v>
      </c>
      <c r="B202" t="s">
        <v>12</v>
      </c>
      <c r="C202">
        <v>686.35237217090696</v>
      </c>
    </row>
    <row r="203" spans="1:3" x14ac:dyDescent="0.3">
      <c r="A203" t="s">
        <v>558</v>
      </c>
      <c r="B203" t="s">
        <v>12</v>
      </c>
      <c r="C203">
        <v>724.38266439502002</v>
      </c>
    </row>
    <row r="204" spans="1:3" x14ac:dyDescent="0.3">
      <c r="A204" t="s">
        <v>545</v>
      </c>
      <c r="B204" t="s">
        <v>12</v>
      </c>
      <c r="C204">
        <v>680.04582005754401</v>
      </c>
    </row>
    <row r="205" spans="1:3" x14ac:dyDescent="0.3">
      <c r="A205" t="s">
        <v>535</v>
      </c>
      <c r="B205" t="s">
        <v>12</v>
      </c>
      <c r="C205">
        <v>690.84116368132402</v>
      </c>
    </row>
    <row r="206" spans="1:3" x14ac:dyDescent="0.3">
      <c r="A206" t="s">
        <v>540</v>
      </c>
      <c r="B206" t="s">
        <v>12</v>
      </c>
      <c r="C206">
        <v>702.67594206700301</v>
      </c>
    </row>
    <row r="207" spans="1:3" x14ac:dyDescent="0.3">
      <c r="A207" t="s">
        <v>537</v>
      </c>
      <c r="B207" t="s">
        <v>12</v>
      </c>
      <c r="C207">
        <v>703.18378546025201</v>
      </c>
    </row>
    <row r="208" spans="1:3" x14ac:dyDescent="0.3">
      <c r="A208" t="s">
        <v>548</v>
      </c>
      <c r="B208" t="s">
        <v>12</v>
      </c>
      <c r="C208">
        <v>693.69057619814498</v>
      </c>
    </row>
    <row r="209" spans="1:3" x14ac:dyDescent="0.3">
      <c r="A209" t="s">
        <v>553</v>
      </c>
      <c r="B209" t="s">
        <v>12</v>
      </c>
      <c r="C209">
        <v>727.51205844084302</v>
      </c>
    </row>
    <row r="210" spans="1:3" x14ac:dyDescent="0.3">
      <c r="A210" t="s">
        <v>544</v>
      </c>
      <c r="B210" t="s">
        <v>12</v>
      </c>
      <c r="C210">
        <v>690.94543725275901</v>
      </c>
    </row>
    <row r="211" spans="1:3" x14ac:dyDescent="0.3">
      <c r="A211" t="s">
        <v>533</v>
      </c>
      <c r="B211" t="s">
        <v>12</v>
      </c>
      <c r="C211">
        <v>679.98380591906198</v>
      </c>
    </row>
    <row r="212" spans="1:3" x14ac:dyDescent="0.3">
      <c r="A212" t="s">
        <v>408</v>
      </c>
      <c r="B212" t="s">
        <v>12</v>
      </c>
      <c r="C212">
        <v>707.31298335297004</v>
      </c>
    </row>
  </sheetData>
  <sortState xmlns:xlrd2="http://schemas.microsoft.com/office/spreadsheetml/2017/richdata2" ref="A182:C211">
    <sortCondition ref="A182:A2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2CEE7-F895-4BD5-B8CF-D786952886B0}">
  <dimension ref="B3:R88"/>
  <sheetViews>
    <sheetView topLeftCell="B61" workbookViewId="0">
      <selection activeCell="C84" sqref="C84:F88"/>
    </sheetView>
  </sheetViews>
  <sheetFormatPr defaultRowHeight="14.4" x14ac:dyDescent="0.3"/>
  <cols>
    <col min="2" max="2" width="5.6640625" customWidth="1"/>
    <col min="3" max="3" width="21.44140625" bestFit="1" customWidth="1"/>
    <col min="4" max="4" width="16.88671875" bestFit="1" customWidth="1"/>
    <col min="5" max="5" width="12" bestFit="1" customWidth="1"/>
    <col min="6" max="7" width="11.5546875" bestFit="1" customWidth="1"/>
    <col min="8" max="8" width="10.6640625" bestFit="1" customWidth="1"/>
    <col min="12" max="12" width="21.44140625" bestFit="1" customWidth="1"/>
    <col min="13" max="16" width="12" bestFit="1" customWidth="1"/>
    <col min="17" max="17" width="10.21875" bestFit="1" customWidth="1"/>
  </cols>
  <sheetData>
    <row r="3" spans="2:16" x14ac:dyDescent="0.3">
      <c r="B3" s="1" t="s">
        <v>180</v>
      </c>
      <c r="C3" s="1" t="s">
        <v>28</v>
      </c>
    </row>
    <row r="5" spans="2:16" x14ac:dyDescent="0.3">
      <c r="C5" t="s">
        <v>346</v>
      </c>
      <c r="L5" s="1" t="s">
        <v>180</v>
      </c>
    </row>
    <row r="6" spans="2:16" x14ac:dyDescent="0.3">
      <c r="B6" t="s">
        <v>345</v>
      </c>
      <c r="C6" t="s">
        <v>14</v>
      </c>
      <c r="D6" t="s">
        <v>15</v>
      </c>
      <c r="E6" t="s">
        <v>16</v>
      </c>
      <c r="F6" t="s">
        <v>17</v>
      </c>
      <c r="G6" t="s">
        <v>19</v>
      </c>
      <c r="H6" t="s">
        <v>20</v>
      </c>
      <c r="L6" s="1" t="s">
        <v>347</v>
      </c>
    </row>
    <row r="7" spans="2:16" x14ac:dyDescent="0.3">
      <c r="B7">
        <v>1</v>
      </c>
      <c r="C7">
        <v>400.857012</v>
      </c>
      <c r="D7">
        <v>46.866357999999998</v>
      </c>
      <c r="E7">
        <v>0.13897100000000001</v>
      </c>
      <c r="F7">
        <v>0.13167699999999999</v>
      </c>
      <c r="G7">
        <v>0.20932100000000001</v>
      </c>
      <c r="H7">
        <v>15.206908</v>
      </c>
    </row>
    <row r="8" spans="2:16" x14ac:dyDescent="0.3">
      <c r="B8">
        <v>2</v>
      </c>
      <c r="C8">
        <v>400.41904299999999</v>
      </c>
      <c r="D8">
        <v>46.955401999999999</v>
      </c>
      <c r="E8">
        <v>0.136797</v>
      </c>
      <c r="F8">
        <v>0.1318</v>
      </c>
      <c r="G8">
        <v>0.209036</v>
      </c>
      <c r="H8">
        <v>15.336537999999999</v>
      </c>
      <c r="L8" t="s">
        <v>348</v>
      </c>
    </row>
    <row r="9" spans="2:16" x14ac:dyDescent="0.3">
      <c r="B9">
        <v>3</v>
      </c>
      <c r="C9">
        <v>394.73194899999999</v>
      </c>
      <c r="D9">
        <v>46.935518999999999</v>
      </c>
      <c r="E9">
        <v>0.13735900000000001</v>
      </c>
      <c r="F9">
        <v>0.13200200000000001</v>
      </c>
      <c r="G9">
        <v>0.20916499999999999</v>
      </c>
      <c r="H9">
        <v>15.316573</v>
      </c>
      <c r="L9" t="s">
        <v>349</v>
      </c>
      <c r="M9" t="s">
        <v>350</v>
      </c>
      <c r="N9" t="s">
        <v>351</v>
      </c>
      <c r="O9" t="s">
        <v>352</v>
      </c>
      <c r="P9" t="s">
        <v>353</v>
      </c>
    </row>
    <row r="10" spans="2:16" x14ac:dyDescent="0.3">
      <c r="B10">
        <v>4</v>
      </c>
      <c r="C10">
        <v>391.418319</v>
      </c>
      <c r="D10">
        <v>46.969622000000001</v>
      </c>
      <c r="E10">
        <v>0.13738400000000001</v>
      </c>
      <c r="F10">
        <v>0.13272200000000001</v>
      </c>
      <c r="G10">
        <v>0.209171</v>
      </c>
      <c r="H10">
        <v>15.354267</v>
      </c>
      <c r="L10" t="s">
        <v>14</v>
      </c>
      <c r="M10">
        <v>30</v>
      </c>
      <c r="N10" s="2">
        <v>11906.707574</v>
      </c>
      <c r="O10" s="2">
        <v>396.89025246666665</v>
      </c>
      <c r="P10" s="9">
        <v>50.09985765309483</v>
      </c>
    </row>
    <row r="11" spans="2:16" x14ac:dyDescent="0.3">
      <c r="B11">
        <v>5</v>
      </c>
      <c r="C11">
        <v>391.81857400000001</v>
      </c>
      <c r="D11">
        <v>47.048358</v>
      </c>
      <c r="E11">
        <v>0.13692399999999999</v>
      </c>
      <c r="F11">
        <v>0.132573</v>
      </c>
      <c r="G11">
        <v>0.21085899999999999</v>
      </c>
      <c r="H11">
        <v>15.251284999999999</v>
      </c>
      <c r="L11" t="s">
        <v>15</v>
      </c>
      <c r="M11">
        <v>30</v>
      </c>
      <c r="N11" s="2">
        <v>1408.949384</v>
      </c>
      <c r="O11" s="2">
        <v>46.964979466666669</v>
      </c>
      <c r="P11" s="9">
        <v>8.8734059941196503E-3</v>
      </c>
    </row>
    <row r="12" spans="2:16" x14ac:dyDescent="0.3">
      <c r="B12">
        <v>6</v>
      </c>
      <c r="C12">
        <v>396.00418400000001</v>
      </c>
      <c r="D12">
        <v>46.991252000000003</v>
      </c>
      <c r="E12">
        <v>0.13720099999999999</v>
      </c>
      <c r="F12">
        <v>0.131605</v>
      </c>
      <c r="G12">
        <v>0.20888100000000001</v>
      </c>
      <c r="H12">
        <v>15.249921000000001</v>
      </c>
      <c r="L12" t="s">
        <v>16</v>
      </c>
      <c r="M12">
        <v>30</v>
      </c>
      <c r="N12" s="2">
        <v>4.1196320000000002</v>
      </c>
      <c r="O12" s="2">
        <v>0.13732106666666669</v>
      </c>
      <c r="P12" s="9">
        <v>2.9685116781609169E-7</v>
      </c>
    </row>
    <row r="13" spans="2:16" x14ac:dyDescent="0.3">
      <c r="B13">
        <v>7</v>
      </c>
      <c r="C13">
        <v>412.38398599999999</v>
      </c>
      <c r="D13">
        <v>46.852657999999998</v>
      </c>
      <c r="E13">
        <v>0.137853</v>
      </c>
      <c r="F13">
        <v>0.132136</v>
      </c>
      <c r="G13">
        <v>0.20844099999999999</v>
      </c>
      <c r="H13">
        <v>15.251078</v>
      </c>
      <c r="L13" t="s">
        <v>17</v>
      </c>
      <c r="M13">
        <v>30</v>
      </c>
      <c r="N13" s="2">
        <v>3.9617340000000008</v>
      </c>
      <c r="O13" s="2">
        <v>0.13205780000000003</v>
      </c>
      <c r="P13" s="9">
        <v>1.5568244137931066E-7</v>
      </c>
    </row>
    <row r="14" spans="2:16" x14ac:dyDescent="0.3">
      <c r="B14">
        <v>8</v>
      </c>
      <c r="C14">
        <v>405.33460700000001</v>
      </c>
      <c r="D14">
        <v>46.946702000000002</v>
      </c>
      <c r="E14">
        <v>0.13732900000000001</v>
      </c>
      <c r="F14">
        <v>0.13173899999999999</v>
      </c>
      <c r="G14">
        <v>0.209144</v>
      </c>
      <c r="H14">
        <v>15.334256</v>
      </c>
      <c r="L14" t="s">
        <v>19</v>
      </c>
      <c r="M14">
        <v>30</v>
      </c>
      <c r="N14" s="2">
        <v>6.2788319999999995</v>
      </c>
      <c r="O14" s="2">
        <v>0.20929439999999999</v>
      </c>
      <c r="P14" s="9">
        <v>3.7140093793103385E-7</v>
      </c>
    </row>
    <row r="15" spans="2:16" x14ac:dyDescent="0.3">
      <c r="B15">
        <v>9</v>
      </c>
      <c r="C15">
        <v>397.25681600000001</v>
      </c>
      <c r="D15">
        <v>46.922001999999999</v>
      </c>
      <c r="E15">
        <v>0.13688500000000001</v>
      </c>
      <c r="F15">
        <v>0.13175400000000001</v>
      </c>
      <c r="G15">
        <v>0.20824699999999999</v>
      </c>
      <c r="H15">
        <v>15.368795</v>
      </c>
      <c r="L15" t="s">
        <v>20</v>
      </c>
      <c r="M15">
        <v>30</v>
      </c>
      <c r="N15" s="2">
        <v>458.74172599999991</v>
      </c>
      <c r="O15" s="2">
        <v>15.291390866666664</v>
      </c>
      <c r="P15" s="9">
        <v>3.849371148119553E-3</v>
      </c>
    </row>
    <row r="16" spans="2:16" x14ac:dyDescent="0.3">
      <c r="B16">
        <v>10</v>
      </c>
      <c r="C16">
        <v>394.59939500000002</v>
      </c>
      <c r="D16">
        <v>46.926239000000002</v>
      </c>
      <c r="E16">
        <v>0.13677300000000001</v>
      </c>
      <c r="F16">
        <v>0.13187099999999999</v>
      </c>
      <c r="G16">
        <v>0.20979900000000001</v>
      </c>
      <c r="H16">
        <v>15.317028000000001</v>
      </c>
    </row>
    <row r="17" spans="2:18" x14ac:dyDescent="0.3">
      <c r="B17">
        <v>11</v>
      </c>
      <c r="C17">
        <v>397.58608600000002</v>
      </c>
      <c r="D17">
        <v>46.866756000000002</v>
      </c>
      <c r="E17">
        <v>0.13735800000000001</v>
      </c>
      <c r="F17">
        <v>0.13163800000000001</v>
      </c>
      <c r="G17">
        <v>0.20955099999999999</v>
      </c>
      <c r="H17">
        <v>15.335188</v>
      </c>
    </row>
    <row r="18" spans="2:18" x14ac:dyDescent="0.3">
      <c r="B18">
        <v>12</v>
      </c>
      <c r="C18">
        <v>390.809867</v>
      </c>
      <c r="D18">
        <v>46.856535000000001</v>
      </c>
      <c r="E18">
        <v>0.13689799999999999</v>
      </c>
      <c r="F18">
        <v>0.13255900000000001</v>
      </c>
      <c r="G18">
        <v>0.20980399999999999</v>
      </c>
      <c r="H18">
        <v>15.205819</v>
      </c>
      <c r="L18" t="s">
        <v>354</v>
      </c>
    </row>
    <row r="19" spans="2:18" x14ac:dyDescent="0.3">
      <c r="B19">
        <v>13</v>
      </c>
      <c r="C19">
        <v>401.67563100000001</v>
      </c>
      <c r="D19">
        <v>46.922241</v>
      </c>
      <c r="E19">
        <v>0.13663900000000001</v>
      </c>
      <c r="F19">
        <v>0.131855</v>
      </c>
      <c r="G19">
        <v>0.20964099999999999</v>
      </c>
      <c r="H19">
        <v>15.318165</v>
      </c>
      <c r="L19" t="s">
        <v>355</v>
      </c>
      <c r="M19" t="s">
        <v>356</v>
      </c>
      <c r="N19" t="s">
        <v>357</v>
      </c>
      <c r="O19" t="s">
        <v>358</v>
      </c>
      <c r="P19" t="s">
        <v>359</v>
      </c>
      <c r="Q19" t="s">
        <v>360</v>
      </c>
      <c r="R19" t="s">
        <v>361</v>
      </c>
    </row>
    <row r="20" spans="2:18" x14ac:dyDescent="0.3">
      <c r="B20">
        <v>14</v>
      </c>
      <c r="C20">
        <v>392.223364</v>
      </c>
      <c r="D20">
        <v>46.997812000000003</v>
      </c>
      <c r="E20">
        <v>0.13694000000000001</v>
      </c>
      <c r="F20">
        <v>0.132578</v>
      </c>
      <c r="G20">
        <v>0.208648</v>
      </c>
      <c r="H20">
        <v>15.208295</v>
      </c>
      <c r="L20" t="s">
        <v>362</v>
      </c>
      <c r="M20" s="2">
        <v>3742567.5921125398</v>
      </c>
      <c r="N20">
        <v>5</v>
      </c>
      <c r="O20" s="2">
        <v>748513.51842250791</v>
      </c>
      <c r="P20" s="2">
        <v>89619.831949111351</v>
      </c>
      <c r="Q20">
        <v>1.0920638128753725E-294</v>
      </c>
      <c r="R20" s="2">
        <v>2.2660617090957911</v>
      </c>
    </row>
    <row r="21" spans="2:18" x14ac:dyDescent="0.3">
      <c r="B21">
        <v>15</v>
      </c>
      <c r="C21">
        <v>388.56162699999999</v>
      </c>
      <c r="D21">
        <v>47.105573</v>
      </c>
      <c r="E21">
        <v>0.13703499999999999</v>
      </c>
      <c r="F21">
        <v>0.13181799999999999</v>
      </c>
      <c r="G21">
        <v>0.209729</v>
      </c>
      <c r="H21">
        <v>15.373723</v>
      </c>
      <c r="L21" t="s">
        <v>363</v>
      </c>
      <c r="M21" s="2">
        <v>1453.2648563709768</v>
      </c>
      <c r="N21">
        <v>174</v>
      </c>
      <c r="O21" s="2">
        <v>8.3520968756952687</v>
      </c>
    </row>
    <row r="22" spans="2:18" x14ac:dyDescent="0.3">
      <c r="B22">
        <v>16</v>
      </c>
      <c r="C22">
        <v>401.95864999999998</v>
      </c>
      <c r="D22">
        <v>46.886066999999997</v>
      </c>
      <c r="E22">
        <v>0.13714399999999999</v>
      </c>
      <c r="F22">
        <v>0.13211899999999999</v>
      </c>
      <c r="G22">
        <v>0.209649</v>
      </c>
      <c r="H22">
        <v>15.206099999999999</v>
      </c>
      <c r="M22" s="2"/>
    </row>
    <row r="23" spans="2:18" x14ac:dyDescent="0.3">
      <c r="B23">
        <v>17</v>
      </c>
      <c r="C23">
        <v>407.03841899999998</v>
      </c>
      <c r="D23">
        <v>47.021433999999999</v>
      </c>
      <c r="E23">
        <v>0.13686400000000001</v>
      </c>
      <c r="F23">
        <v>0.131825</v>
      </c>
      <c r="G23">
        <v>0.20873700000000001</v>
      </c>
      <c r="H23">
        <v>15.207117999999999</v>
      </c>
      <c r="L23" t="s">
        <v>364</v>
      </c>
      <c r="M23" s="2">
        <v>3744020.8569689109</v>
      </c>
      <c r="N23">
        <v>179</v>
      </c>
    </row>
    <row r="24" spans="2:18" x14ac:dyDescent="0.3">
      <c r="B24">
        <v>18</v>
      </c>
      <c r="C24">
        <v>398.64996100000002</v>
      </c>
      <c r="D24">
        <v>46.888553999999999</v>
      </c>
      <c r="E24">
        <v>0.137521</v>
      </c>
      <c r="F24">
        <v>0.13172900000000001</v>
      </c>
      <c r="G24">
        <v>0.20864099999999999</v>
      </c>
      <c r="H24">
        <v>15.206429</v>
      </c>
    </row>
    <row r="25" spans="2:18" x14ac:dyDescent="0.3">
      <c r="B25">
        <v>19</v>
      </c>
      <c r="C25">
        <v>401.24717099999998</v>
      </c>
      <c r="D25">
        <v>46.870199</v>
      </c>
      <c r="E25">
        <v>0.137546</v>
      </c>
      <c r="F25">
        <v>0.13197400000000001</v>
      </c>
      <c r="G25">
        <v>0.208677</v>
      </c>
      <c r="H25">
        <v>15.316598000000001</v>
      </c>
    </row>
    <row r="26" spans="2:18" x14ac:dyDescent="0.3">
      <c r="B26">
        <v>20</v>
      </c>
      <c r="C26">
        <v>390.47968700000001</v>
      </c>
      <c r="D26">
        <v>46.95617</v>
      </c>
      <c r="E26">
        <v>0.13867499999999999</v>
      </c>
      <c r="F26">
        <v>0.13181599999999999</v>
      </c>
      <c r="G26">
        <v>0.21030599999999999</v>
      </c>
      <c r="H26">
        <v>15.334546</v>
      </c>
    </row>
    <row r="27" spans="2:18" x14ac:dyDescent="0.3">
      <c r="B27">
        <v>21</v>
      </c>
      <c r="C27">
        <v>389.884793</v>
      </c>
      <c r="D27">
        <v>46.935892000000003</v>
      </c>
      <c r="E27">
        <v>0.137042</v>
      </c>
      <c r="F27">
        <v>0.13259699999999999</v>
      </c>
      <c r="G27">
        <v>0.20957799999999999</v>
      </c>
      <c r="H27">
        <v>15.317276</v>
      </c>
    </row>
    <row r="28" spans="2:18" x14ac:dyDescent="0.3">
      <c r="B28">
        <v>22</v>
      </c>
      <c r="C28">
        <v>408.71801099999999</v>
      </c>
      <c r="D28">
        <v>46.882036999999997</v>
      </c>
      <c r="E28">
        <v>0.13727900000000001</v>
      </c>
      <c r="F28">
        <v>0.13222600000000001</v>
      </c>
      <c r="G28">
        <v>0.20832100000000001</v>
      </c>
      <c r="H28">
        <v>15.250325</v>
      </c>
    </row>
    <row r="29" spans="2:18" x14ac:dyDescent="0.3">
      <c r="B29">
        <v>23</v>
      </c>
      <c r="C29">
        <v>384.86888299999998</v>
      </c>
      <c r="D29">
        <v>47.060667000000002</v>
      </c>
      <c r="E29">
        <v>0.137714</v>
      </c>
      <c r="F29">
        <v>0.131356</v>
      </c>
      <c r="G29">
        <v>0.20935300000000001</v>
      </c>
      <c r="H29">
        <v>15.317515</v>
      </c>
    </row>
    <row r="30" spans="2:18" x14ac:dyDescent="0.3">
      <c r="B30">
        <v>24</v>
      </c>
      <c r="C30">
        <v>391.52720799999997</v>
      </c>
      <c r="D30">
        <v>47.064272000000003</v>
      </c>
      <c r="E30">
        <v>0.13788600000000001</v>
      </c>
      <c r="F30">
        <v>0.13189400000000001</v>
      </c>
      <c r="G30">
        <v>0.210061</v>
      </c>
      <c r="H30">
        <v>15.206846000000001</v>
      </c>
    </row>
    <row r="31" spans="2:18" x14ac:dyDescent="0.3">
      <c r="B31">
        <v>25</v>
      </c>
      <c r="C31">
        <v>397.237234</v>
      </c>
      <c r="D31">
        <v>47.136422000000003</v>
      </c>
      <c r="E31">
        <v>0.13738600000000001</v>
      </c>
      <c r="F31">
        <v>0.13183500000000001</v>
      </c>
      <c r="G31">
        <v>0.20896799999999999</v>
      </c>
      <c r="H31">
        <v>15.207599999999999</v>
      </c>
    </row>
    <row r="32" spans="2:18" x14ac:dyDescent="0.3">
      <c r="B32">
        <v>26</v>
      </c>
      <c r="C32">
        <v>397.24678499999999</v>
      </c>
      <c r="D32">
        <v>47.021582000000002</v>
      </c>
      <c r="E32">
        <v>0.13716700000000001</v>
      </c>
      <c r="F32">
        <v>0.13262599999999999</v>
      </c>
      <c r="G32">
        <v>0.209512</v>
      </c>
      <c r="H32">
        <v>15.335651</v>
      </c>
    </row>
    <row r="33" spans="2:16" x14ac:dyDescent="0.3">
      <c r="B33">
        <v>27</v>
      </c>
      <c r="C33">
        <v>392.322338</v>
      </c>
      <c r="D33">
        <v>46.858933</v>
      </c>
      <c r="E33">
        <v>0.138069</v>
      </c>
      <c r="F33">
        <v>0.13289000000000001</v>
      </c>
      <c r="G33">
        <v>0.210171</v>
      </c>
      <c r="H33">
        <v>15.381145999999999</v>
      </c>
    </row>
    <row r="34" spans="2:16" x14ac:dyDescent="0.3">
      <c r="B34">
        <v>28</v>
      </c>
      <c r="C34">
        <v>410.89047299999999</v>
      </c>
      <c r="D34">
        <v>47.044877999999997</v>
      </c>
      <c r="E34">
        <v>0.13710900000000001</v>
      </c>
      <c r="F34">
        <v>0.13251599999999999</v>
      </c>
      <c r="G34">
        <v>0.20924599999999999</v>
      </c>
      <c r="H34">
        <v>15.317095</v>
      </c>
    </row>
    <row r="35" spans="2:16" x14ac:dyDescent="0.3">
      <c r="B35">
        <v>29</v>
      </c>
      <c r="C35">
        <v>392.15063500000002</v>
      </c>
      <c r="D35">
        <v>47.239362</v>
      </c>
      <c r="E35">
        <v>0.13721700000000001</v>
      </c>
      <c r="F35">
        <v>0.13194800000000001</v>
      </c>
      <c r="G35">
        <v>0.20907899999999999</v>
      </c>
      <c r="H35">
        <v>15.374382000000001</v>
      </c>
    </row>
    <row r="36" spans="2:16" x14ac:dyDescent="0.3">
      <c r="B36">
        <v>30</v>
      </c>
      <c r="C36">
        <v>386.80686600000001</v>
      </c>
      <c r="D36">
        <v>46.919885999999998</v>
      </c>
      <c r="E36">
        <v>0.13666700000000001</v>
      </c>
      <c r="F36">
        <v>0.13205600000000001</v>
      </c>
      <c r="G36">
        <v>0.209096</v>
      </c>
      <c r="H36">
        <v>15.33526</v>
      </c>
    </row>
    <row r="40" spans="2:16" x14ac:dyDescent="0.3">
      <c r="B40" s="1" t="s">
        <v>337</v>
      </c>
      <c r="C40" s="1" t="s">
        <v>28</v>
      </c>
    </row>
    <row r="41" spans="2:16" x14ac:dyDescent="0.3">
      <c r="L41" s="1" t="s">
        <v>337</v>
      </c>
    </row>
    <row r="42" spans="2:16" x14ac:dyDescent="0.3">
      <c r="B42" t="s">
        <v>345</v>
      </c>
      <c r="C42" t="s">
        <v>182</v>
      </c>
      <c r="D42" t="s">
        <v>213</v>
      </c>
      <c r="E42" t="s">
        <v>244</v>
      </c>
      <c r="F42" t="s">
        <v>275</v>
      </c>
      <c r="G42" t="s">
        <v>306</v>
      </c>
      <c r="L42" s="1" t="s">
        <v>347</v>
      </c>
    </row>
    <row r="43" spans="2:16" x14ac:dyDescent="0.3">
      <c r="B43">
        <v>1</v>
      </c>
      <c r="C43">
        <v>0.78351599999999999</v>
      </c>
      <c r="D43">
        <v>19.771404</v>
      </c>
      <c r="E43">
        <v>1.3860779999999999</v>
      </c>
      <c r="F43">
        <v>2.418901</v>
      </c>
      <c r="G43">
        <v>74.925962999999996</v>
      </c>
    </row>
    <row r="44" spans="2:16" ht="15" thickBot="1" x14ac:dyDescent="0.35">
      <c r="B44">
        <v>2</v>
      </c>
      <c r="C44">
        <v>0.79619300000000004</v>
      </c>
      <c r="D44">
        <v>19.829677</v>
      </c>
      <c r="E44">
        <v>1.4210100000000001</v>
      </c>
      <c r="F44">
        <v>2.373942</v>
      </c>
      <c r="G44">
        <v>74.983693000000002</v>
      </c>
      <c r="L44" t="s">
        <v>348</v>
      </c>
    </row>
    <row r="45" spans="2:16" x14ac:dyDescent="0.3">
      <c r="B45">
        <v>3</v>
      </c>
      <c r="C45">
        <v>0.84750300000000001</v>
      </c>
      <c r="D45">
        <v>19.480585000000001</v>
      </c>
      <c r="E45">
        <v>1.3711979999999999</v>
      </c>
      <c r="F45">
        <v>2.3830450000000001</v>
      </c>
      <c r="G45">
        <v>74.885830999999996</v>
      </c>
      <c r="L45" s="8" t="s">
        <v>349</v>
      </c>
      <c r="M45" s="8" t="s">
        <v>350</v>
      </c>
      <c r="N45" s="8" t="s">
        <v>351</v>
      </c>
      <c r="O45" s="8" t="s">
        <v>352</v>
      </c>
      <c r="P45" s="8" t="s">
        <v>353</v>
      </c>
    </row>
    <row r="46" spans="2:16" x14ac:dyDescent="0.3">
      <c r="B46">
        <v>4</v>
      </c>
      <c r="C46">
        <v>0.79536600000000002</v>
      </c>
      <c r="D46">
        <v>19.884561000000001</v>
      </c>
      <c r="E46">
        <v>1.4178440000000001</v>
      </c>
      <c r="F46">
        <v>2.3729399999999998</v>
      </c>
      <c r="G46">
        <v>77.742093999999994</v>
      </c>
      <c r="L46" t="s">
        <v>182</v>
      </c>
      <c r="M46">
        <v>30</v>
      </c>
      <c r="N46" s="2">
        <v>24.506586000000002</v>
      </c>
      <c r="O46" s="2">
        <v>0.81688620000000012</v>
      </c>
      <c r="P46" s="2">
        <v>1.0121751413379309E-3</v>
      </c>
    </row>
    <row r="47" spans="2:16" x14ac:dyDescent="0.3">
      <c r="B47">
        <v>5</v>
      </c>
      <c r="C47">
        <v>0.84800699999999996</v>
      </c>
      <c r="D47">
        <v>19.872976000000001</v>
      </c>
      <c r="E47">
        <v>1.3959710000000001</v>
      </c>
      <c r="F47">
        <v>2.40855</v>
      </c>
      <c r="G47">
        <v>75.046955999999994</v>
      </c>
      <c r="L47" t="s">
        <v>213</v>
      </c>
      <c r="M47">
        <v>30</v>
      </c>
      <c r="N47" s="2">
        <v>596.37072999999987</v>
      </c>
      <c r="O47" s="2">
        <v>19.87902433333333</v>
      </c>
      <c r="P47" s="2">
        <v>2.7158957388367769E-2</v>
      </c>
    </row>
    <row r="48" spans="2:16" x14ac:dyDescent="0.3">
      <c r="B48">
        <v>6</v>
      </c>
      <c r="C48">
        <v>0.77698800000000001</v>
      </c>
      <c r="D48">
        <v>19.778227000000001</v>
      </c>
      <c r="E48">
        <v>1.379157</v>
      </c>
      <c r="F48">
        <v>2.4445649999999999</v>
      </c>
      <c r="G48">
        <v>74.693226999999993</v>
      </c>
      <c r="L48" t="s">
        <v>244</v>
      </c>
      <c r="M48">
        <v>30</v>
      </c>
      <c r="N48" s="2">
        <v>41.649560000000001</v>
      </c>
      <c r="O48" s="2">
        <v>1.3883186666666667</v>
      </c>
      <c r="P48" s="2">
        <v>8.7980923119540327E-4</v>
      </c>
    </row>
    <row r="49" spans="2:18" x14ac:dyDescent="0.3">
      <c r="B49">
        <v>7</v>
      </c>
      <c r="C49">
        <v>0.83376600000000001</v>
      </c>
      <c r="D49">
        <v>19.773961</v>
      </c>
      <c r="E49">
        <v>1.3907860000000001</v>
      </c>
      <c r="F49">
        <v>2.4264209999999999</v>
      </c>
      <c r="G49">
        <v>75.131429999999995</v>
      </c>
      <c r="L49" t="s">
        <v>275</v>
      </c>
      <c r="M49">
        <v>30</v>
      </c>
      <c r="N49" s="2">
        <v>71.782197000000011</v>
      </c>
      <c r="O49" s="2">
        <v>2.3927399000000005</v>
      </c>
      <c r="P49" s="2">
        <v>1.5854342105758629E-3</v>
      </c>
    </row>
    <row r="50" spans="2:18" ht="15" thickBot="1" x14ac:dyDescent="0.35">
      <c r="B50">
        <v>8</v>
      </c>
      <c r="C50">
        <v>0.77676199999999995</v>
      </c>
      <c r="D50">
        <v>19.714099999999998</v>
      </c>
      <c r="E50">
        <v>1.350096</v>
      </c>
      <c r="F50">
        <v>2.3966789999999998</v>
      </c>
      <c r="G50">
        <v>75.077500000000001</v>
      </c>
      <c r="L50" s="7" t="s">
        <v>306</v>
      </c>
      <c r="M50" s="7">
        <v>30</v>
      </c>
      <c r="N50" s="10">
        <v>2254.3670430000002</v>
      </c>
      <c r="O50" s="10">
        <v>75.145568100000006</v>
      </c>
      <c r="P50" s="10">
        <v>0.31300519122409254</v>
      </c>
    </row>
    <row r="51" spans="2:18" x14ac:dyDescent="0.3">
      <c r="B51">
        <v>9</v>
      </c>
      <c r="C51">
        <v>0.85395399999999999</v>
      </c>
      <c r="D51">
        <v>19.868950000000002</v>
      </c>
      <c r="E51">
        <v>1.3847149999999999</v>
      </c>
      <c r="F51">
        <v>2.3692449999999998</v>
      </c>
      <c r="G51">
        <v>75.374031000000002</v>
      </c>
    </row>
    <row r="52" spans="2:18" x14ac:dyDescent="0.3">
      <c r="B52">
        <v>10</v>
      </c>
      <c r="C52">
        <v>0.78535999999999995</v>
      </c>
      <c r="D52">
        <v>19.873249999999999</v>
      </c>
      <c r="E52">
        <v>1.3801859999999999</v>
      </c>
      <c r="F52">
        <v>2.4447480000000001</v>
      </c>
      <c r="G52">
        <v>75.039788999999999</v>
      </c>
    </row>
    <row r="53" spans="2:18" ht="15" thickBot="1" x14ac:dyDescent="0.35">
      <c r="B53">
        <v>11</v>
      </c>
      <c r="C53">
        <v>0.84508399999999995</v>
      </c>
      <c r="D53">
        <v>19.757823999999999</v>
      </c>
      <c r="E53">
        <v>1.351898</v>
      </c>
      <c r="F53">
        <v>2.3939810000000001</v>
      </c>
      <c r="G53">
        <v>75.134901999999997</v>
      </c>
      <c r="L53" t="s">
        <v>354</v>
      </c>
    </row>
    <row r="54" spans="2:18" x14ac:dyDescent="0.3">
      <c r="B54">
        <v>12</v>
      </c>
      <c r="C54">
        <v>0.797794</v>
      </c>
      <c r="D54">
        <v>19.958908999999998</v>
      </c>
      <c r="E54">
        <v>1.4223889999999999</v>
      </c>
      <c r="F54">
        <v>2.4390930000000002</v>
      </c>
      <c r="G54">
        <v>74.995017000000004</v>
      </c>
      <c r="L54" s="8" t="s">
        <v>355</v>
      </c>
      <c r="M54" s="8" t="s">
        <v>356</v>
      </c>
      <c r="N54" s="8" t="s">
        <v>357</v>
      </c>
      <c r="O54" s="8" t="s">
        <v>358</v>
      </c>
      <c r="P54" s="8" t="s">
        <v>359</v>
      </c>
      <c r="Q54" s="8" t="s">
        <v>360</v>
      </c>
      <c r="R54" s="8" t="s">
        <v>361</v>
      </c>
    </row>
    <row r="55" spans="2:18" x14ac:dyDescent="0.3">
      <c r="B55">
        <v>13</v>
      </c>
      <c r="C55">
        <v>0.84285200000000005</v>
      </c>
      <c r="D55">
        <v>19.945319000000001</v>
      </c>
      <c r="E55">
        <v>1.3928659999999999</v>
      </c>
      <c r="F55">
        <v>2.3389289999999998</v>
      </c>
      <c r="G55">
        <v>74.871633000000003</v>
      </c>
      <c r="L55" t="s">
        <v>362</v>
      </c>
      <c r="M55" s="2">
        <v>121962.65897690818</v>
      </c>
      <c r="N55">
        <v>4</v>
      </c>
      <c r="O55" s="2">
        <v>30490.664744227044</v>
      </c>
      <c r="P55" s="2">
        <v>443640.52045651589</v>
      </c>
      <c r="Q55" s="9">
        <v>3.1896867223032485E-295</v>
      </c>
      <c r="R55" s="2">
        <v>2.4340651357887815</v>
      </c>
    </row>
    <row r="56" spans="2:18" x14ac:dyDescent="0.3">
      <c r="B56">
        <v>14</v>
      </c>
      <c r="C56">
        <v>0.80060100000000001</v>
      </c>
      <c r="D56">
        <v>20.145562000000002</v>
      </c>
      <c r="E56">
        <v>1.448995</v>
      </c>
      <c r="F56">
        <v>2.3486150000000001</v>
      </c>
      <c r="G56">
        <v>75.097002000000003</v>
      </c>
      <c r="L56" t="s">
        <v>363</v>
      </c>
      <c r="M56" s="2">
        <v>9.965605448671516</v>
      </c>
      <c r="N56">
        <v>145</v>
      </c>
      <c r="O56" s="2">
        <v>6.8728313439113897E-2</v>
      </c>
      <c r="P56" s="2"/>
    </row>
    <row r="57" spans="2:18" x14ac:dyDescent="0.3">
      <c r="B57">
        <v>15</v>
      </c>
      <c r="C57">
        <v>0.86614899999999995</v>
      </c>
      <c r="D57">
        <v>19.946469</v>
      </c>
      <c r="E57">
        <v>1.3594470000000001</v>
      </c>
      <c r="F57">
        <v>2.402768</v>
      </c>
      <c r="G57">
        <v>74.995785999999995</v>
      </c>
      <c r="M57" s="2"/>
    </row>
    <row r="58" spans="2:18" ht="15" thickBot="1" x14ac:dyDescent="0.35">
      <c r="B58">
        <v>16</v>
      </c>
      <c r="C58">
        <v>0.78503299999999998</v>
      </c>
      <c r="D58">
        <v>19.976697000000001</v>
      </c>
      <c r="E58">
        <v>1.4169400000000001</v>
      </c>
      <c r="F58">
        <v>2.364973</v>
      </c>
      <c r="G58">
        <v>75.014166000000003</v>
      </c>
      <c r="L58" s="7" t="s">
        <v>364</v>
      </c>
      <c r="M58" s="10">
        <v>121972.62458235685</v>
      </c>
      <c r="N58" s="7">
        <v>149</v>
      </c>
      <c r="O58" s="7"/>
      <c r="P58" s="7"/>
      <c r="Q58" s="7"/>
      <c r="R58" s="7"/>
    </row>
    <row r="59" spans="2:18" x14ac:dyDescent="0.3">
      <c r="B59">
        <v>17</v>
      </c>
      <c r="C59">
        <v>0.84292800000000001</v>
      </c>
      <c r="D59">
        <v>20.173258000000001</v>
      </c>
      <c r="E59">
        <v>1.3606609999999999</v>
      </c>
      <c r="F59">
        <v>2.3589440000000002</v>
      </c>
      <c r="G59">
        <v>74.997761999999994</v>
      </c>
    </row>
    <row r="60" spans="2:18" x14ac:dyDescent="0.3">
      <c r="B60">
        <v>18</v>
      </c>
      <c r="C60">
        <v>0.78250900000000001</v>
      </c>
      <c r="D60">
        <v>20.142831999999999</v>
      </c>
      <c r="E60">
        <v>1.3295779999999999</v>
      </c>
      <c r="F60">
        <v>2.3968940000000001</v>
      </c>
      <c r="G60">
        <v>75.17098</v>
      </c>
    </row>
    <row r="61" spans="2:18" x14ac:dyDescent="0.3">
      <c r="B61">
        <v>19</v>
      </c>
      <c r="C61">
        <v>0.86746000000000001</v>
      </c>
      <c r="D61">
        <v>19.966691999999998</v>
      </c>
      <c r="E61">
        <v>1.447926</v>
      </c>
      <c r="F61">
        <v>2.4520439999999999</v>
      </c>
      <c r="G61">
        <v>75.275497000000001</v>
      </c>
    </row>
    <row r="62" spans="2:18" x14ac:dyDescent="0.3">
      <c r="B62">
        <v>20</v>
      </c>
      <c r="C62">
        <v>0.78262799999999999</v>
      </c>
      <c r="D62">
        <v>19.650825000000001</v>
      </c>
      <c r="E62">
        <v>1.363391</v>
      </c>
      <c r="F62">
        <v>2.3970419999999999</v>
      </c>
      <c r="G62">
        <v>74.818702000000002</v>
      </c>
    </row>
    <row r="63" spans="2:18" x14ac:dyDescent="0.3">
      <c r="B63">
        <v>21</v>
      </c>
      <c r="C63">
        <v>0.81432300000000002</v>
      </c>
      <c r="D63">
        <v>19.852793999999999</v>
      </c>
      <c r="E63">
        <v>1.3694040000000001</v>
      </c>
      <c r="F63">
        <v>2.2840989999999999</v>
      </c>
      <c r="G63">
        <v>76.297758999999999</v>
      </c>
    </row>
    <row r="64" spans="2:18" x14ac:dyDescent="0.3">
      <c r="B64">
        <v>22</v>
      </c>
      <c r="C64">
        <v>0.80030900000000005</v>
      </c>
      <c r="D64">
        <v>19.872395999999998</v>
      </c>
      <c r="E64">
        <v>1.4012519999999999</v>
      </c>
      <c r="F64">
        <v>2.4138769999999998</v>
      </c>
      <c r="G64">
        <v>74.979898000000006</v>
      </c>
    </row>
    <row r="65" spans="2:7" x14ac:dyDescent="0.3">
      <c r="B65">
        <v>23</v>
      </c>
      <c r="C65">
        <v>0.86132200000000003</v>
      </c>
      <c r="D65">
        <v>19.651451000000002</v>
      </c>
      <c r="E65">
        <v>1.3601970000000001</v>
      </c>
      <c r="F65">
        <v>2.4229639999999999</v>
      </c>
      <c r="G65">
        <v>75.023296999999999</v>
      </c>
    </row>
    <row r="66" spans="2:7" x14ac:dyDescent="0.3">
      <c r="B66">
        <v>24</v>
      </c>
      <c r="C66">
        <v>0.79533399999999999</v>
      </c>
      <c r="D66">
        <v>19.735583999999999</v>
      </c>
      <c r="E66">
        <v>1.427713</v>
      </c>
      <c r="F66">
        <v>2.4216489999999999</v>
      </c>
      <c r="G66">
        <v>74.967654999999993</v>
      </c>
    </row>
    <row r="67" spans="2:7" x14ac:dyDescent="0.3">
      <c r="B67">
        <v>25</v>
      </c>
      <c r="C67">
        <v>0.86066399999999998</v>
      </c>
      <c r="D67">
        <v>19.888466000000001</v>
      </c>
      <c r="E67">
        <v>1.3677870000000001</v>
      </c>
      <c r="F67">
        <v>2.4090159999999998</v>
      </c>
      <c r="G67">
        <v>75.018715999999998</v>
      </c>
    </row>
    <row r="68" spans="2:7" x14ac:dyDescent="0.3">
      <c r="B68">
        <v>26</v>
      </c>
      <c r="C68">
        <v>0.78899300000000006</v>
      </c>
      <c r="D68">
        <v>20.197585</v>
      </c>
      <c r="E68">
        <v>1.421605</v>
      </c>
      <c r="F68">
        <v>2.3482910000000001</v>
      </c>
      <c r="G68">
        <v>75.056205000000006</v>
      </c>
    </row>
    <row r="69" spans="2:7" x14ac:dyDescent="0.3">
      <c r="B69">
        <v>27</v>
      </c>
      <c r="C69">
        <v>0.84556299999999995</v>
      </c>
      <c r="D69">
        <v>19.9986</v>
      </c>
      <c r="E69">
        <v>1.3751249999999999</v>
      </c>
      <c r="F69">
        <v>2.3631500000000001</v>
      </c>
      <c r="G69">
        <v>74.899682999999996</v>
      </c>
    </row>
    <row r="70" spans="2:7" x14ac:dyDescent="0.3">
      <c r="B70">
        <v>28</v>
      </c>
      <c r="C70">
        <v>0.78844000000000003</v>
      </c>
      <c r="D70">
        <v>19.99213</v>
      </c>
      <c r="E70">
        <v>1.4003950000000001</v>
      </c>
      <c r="F70">
        <v>2.3261159999999999</v>
      </c>
      <c r="G70">
        <v>74.919400999999993</v>
      </c>
    </row>
    <row r="71" spans="2:7" x14ac:dyDescent="0.3">
      <c r="B71">
        <v>29</v>
      </c>
      <c r="C71">
        <v>0.84687800000000002</v>
      </c>
      <c r="D71">
        <v>19.965297</v>
      </c>
      <c r="E71">
        <v>1.391664</v>
      </c>
      <c r="F71">
        <v>2.4211939999999998</v>
      </c>
      <c r="G71">
        <v>74.858862000000002</v>
      </c>
    </row>
    <row r="72" spans="2:7" x14ac:dyDescent="0.3">
      <c r="B72">
        <v>30</v>
      </c>
      <c r="C72">
        <v>0.79430699999999999</v>
      </c>
      <c r="D72">
        <v>19.704349000000001</v>
      </c>
      <c r="E72">
        <v>1.363286</v>
      </c>
      <c r="F72">
        <v>2.4395220000000002</v>
      </c>
      <c r="G72">
        <v>75.073605999999998</v>
      </c>
    </row>
    <row r="75" spans="2:7" x14ac:dyDescent="0.3">
      <c r="F75">
        <v>1E-3</v>
      </c>
    </row>
    <row r="76" spans="2:7" x14ac:dyDescent="0.3">
      <c r="C76" t="s">
        <v>369</v>
      </c>
    </row>
    <row r="77" spans="2:7" x14ac:dyDescent="0.3">
      <c r="C77" s="3" t="s">
        <v>365</v>
      </c>
      <c r="D77" s="3" t="s">
        <v>366</v>
      </c>
      <c r="E77" s="3" t="s">
        <v>367</v>
      </c>
      <c r="F77" s="3" t="s">
        <v>370</v>
      </c>
      <c r="G77" s="3" t="s">
        <v>371</v>
      </c>
    </row>
    <row r="78" spans="2:7" x14ac:dyDescent="0.3">
      <c r="B78" t="s">
        <v>180</v>
      </c>
      <c r="C78" t="s">
        <v>368</v>
      </c>
      <c r="D78" s="2">
        <f>P20</f>
        <v>89619.831949111351</v>
      </c>
      <c r="E78">
        <f>Q20</f>
        <v>1.0920638128753725E-294</v>
      </c>
      <c r="F78" t="str">
        <f>IF(E78&lt;0.05,"Significant","Not significant")</f>
        <v>Significant</v>
      </c>
      <c r="G78" t="str">
        <f>IF(E78&lt;0.001,"Very Significant","Not significant")</f>
        <v>Very Significant</v>
      </c>
    </row>
    <row r="79" spans="2:7" x14ac:dyDescent="0.3">
      <c r="B79" t="s">
        <v>337</v>
      </c>
      <c r="C79" t="s">
        <v>368</v>
      </c>
      <c r="D79" s="2">
        <f>P55</f>
        <v>443640.52045651589</v>
      </c>
      <c r="E79" s="9">
        <f>Q55</f>
        <v>3.1896867223032485E-295</v>
      </c>
      <c r="F79" t="str">
        <f>IF(E79&lt;0.05,"Significant","Not significant")</f>
        <v>Significant</v>
      </c>
      <c r="G79" t="str">
        <f>IF(E79&lt;0.001,"Very Significant","Not significant")</f>
        <v>Very Significant</v>
      </c>
    </row>
    <row r="82" spans="3:6" x14ac:dyDescent="0.3">
      <c r="C82" t="s">
        <v>721</v>
      </c>
    </row>
    <row r="84" spans="3:6" x14ac:dyDescent="0.3">
      <c r="C84" s="3" t="s">
        <v>365</v>
      </c>
      <c r="D84" t="s">
        <v>722</v>
      </c>
      <c r="E84" t="s">
        <v>366</v>
      </c>
      <c r="F84" t="s">
        <v>367</v>
      </c>
    </row>
    <row r="85" spans="3:6" x14ac:dyDescent="0.3">
      <c r="C85" t="s">
        <v>368</v>
      </c>
      <c r="D85" t="s">
        <v>180</v>
      </c>
      <c r="E85" s="2">
        <v>89619.831949111351</v>
      </c>
      <c r="F85" s="9">
        <v>1.0920638128753725E-294</v>
      </c>
    </row>
    <row r="86" spans="3:6" x14ac:dyDescent="0.3">
      <c r="C86" t="s">
        <v>368</v>
      </c>
      <c r="D86" t="s">
        <v>337</v>
      </c>
      <c r="E86" s="2">
        <v>443640.52045651589</v>
      </c>
      <c r="F86" s="9">
        <v>3.1896867223032485E-295</v>
      </c>
    </row>
    <row r="87" spans="3:6" x14ac:dyDescent="0.3">
      <c r="C87" t="s">
        <v>715</v>
      </c>
      <c r="D87" t="s">
        <v>180</v>
      </c>
      <c r="E87" s="2">
        <v>46665.194203514257</v>
      </c>
      <c r="F87" s="9">
        <v>4.800447401311914E-270</v>
      </c>
    </row>
    <row r="88" spans="3:6" x14ac:dyDescent="0.3">
      <c r="C88" t="s">
        <v>715</v>
      </c>
      <c r="D88" t="s">
        <v>337</v>
      </c>
      <c r="E88" s="2">
        <v>450158.8603452954</v>
      </c>
      <c r="F88" s="9">
        <v>1.1079688198758073E-295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D2655-BACF-47AD-A6F9-796B5D8CCB2E}">
  <dimension ref="A3:Q78"/>
  <sheetViews>
    <sheetView topLeftCell="A53" workbookViewId="0">
      <selection activeCell="B77" sqref="B77:B78"/>
    </sheetView>
  </sheetViews>
  <sheetFormatPr defaultRowHeight="14.4" x14ac:dyDescent="0.3"/>
  <cols>
    <col min="3" max="3" width="10.5546875" bestFit="1" customWidth="1"/>
    <col min="4" max="4" width="10.21875" bestFit="1" customWidth="1"/>
    <col min="5" max="5" width="12" bestFit="1" customWidth="1"/>
    <col min="6" max="6" width="14.44140625" customWidth="1"/>
    <col min="11" max="11" width="24.44140625" bestFit="1" customWidth="1"/>
    <col min="12" max="12" width="12.5546875" bestFit="1" customWidth="1"/>
    <col min="13" max="13" width="9.5546875" bestFit="1" customWidth="1"/>
    <col min="14" max="14" width="11.5546875" bestFit="1" customWidth="1"/>
    <col min="15" max="15" width="12.5546875" bestFit="1" customWidth="1"/>
    <col min="16" max="16" width="10.21875" bestFit="1" customWidth="1"/>
  </cols>
  <sheetData>
    <row r="3" spans="1:15" x14ac:dyDescent="0.3">
      <c r="A3" s="1" t="s">
        <v>180</v>
      </c>
    </row>
    <row r="6" spans="1:15" x14ac:dyDescent="0.3">
      <c r="A6" t="s">
        <v>345</v>
      </c>
      <c r="B6" t="s">
        <v>14</v>
      </c>
      <c r="C6" t="s">
        <v>15</v>
      </c>
      <c r="D6" t="s">
        <v>16</v>
      </c>
      <c r="E6" t="s">
        <v>17</v>
      </c>
      <c r="F6" t="s">
        <v>19</v>
      </c>
      <c r="G6" t="s">
        <v>20</v>
      </c>
      <c r="K6" t="s">
        <v>347</v>
      </c>
    </row>
    <row r="7" spans="1:15" x14ac:dyDescent="0.3">
      <c r="A7">
        <v>1</v>
      </c>
      <c r="B7">
        <v>702.16157543644397</v>
      </c>
      <c r="C7">
        <v>72.981906064050094</v>
      </c>
      <c r="D7">
        <v>0.20733836363636299</v>
      </c>
      <c r="E7">
        <v>0.20175545454545399</v>
      </c>
      <c r="F7">
        <v>0.321780470588235</v>
      </c>
      <c r="G7">
        <v>23.416965865659101</v>
      </c>
    </row>
    <row r="8" spans="1:15" ht="15" thickBot="1" x14ac:dyDescent="0.35">
      <c r="A8">
        <v>2</v>
      </c>
      <c r="B8">
        <v>707.63933731810505</v>
      </c>
      <c r="C8">
        <v>73.708467277203397</v>
      </c>
      <c r="D8">
        <v>0.20544645454545399</v>
      </c>
      <c r="E8">
        <v>0.20163263636363599</v>
      </c>
      <c r="F8">
        <v>0.32152429411764699</v>
      </c>
      <c r="G8">
        <v>23.671235876871801</v>
      </c>
      <c r="K8" t="s">
        <v>348</v>
      </c>
    </row>
    <row r="9" spans="1:15" x14ac:dyDescent="0.3">
      <c r="A9">
        <v>3</v>
      </c>
      <c r="B9">
        <v>700.22183733713996</v>
      </c>
      <c r="C9">
        <v>73.736394611156399</v>
      </c>
      <c r="D9">
        <v>0.20559563636363601</v>
      </c>
      <c r="E9">
        <v>0.20073527272727201</v>
      </c>
      <c r="F9">
        <v>0.32235529411764702</v>
      </c>
      <c r="G9">
        <v>23.655450102500001</v>
      </c>
      <c r="K9" s="8" t="s">
        <v>349</v>
      </c>
      <c r="L9" s="8" t="s">
        <v>350</v>
      </c>
      <c r="M9" s="8" t="s">
        <v>351</v>
      </c>
      <c r="N9" s="8" t="s">
        <v>352</v>
      </c>
      <c r="O9" s="8" t="s">
        <v>353</v>
      </c>
    </row>
    <row r="10" spans="1:15" x14ac:dyDescent="0.3">
      <c r="A10">
        <v>4</v>
      </c>
      <c r="B10">
        <v>696.043729886503</v>
      </c>
      <c r="C10">
        <v>74.252405248028197</v>
      </c>
      <c r="D10">
        <v>0.20575536363636299</v>
      </c>
      <c r="E10">
        <v>0.20088463636363599</v>
      </c>
      <c r="F10">
        <v>0.32180076470588198</v>
      </c>
      <c r="G10">
        <v>23.687931167913501</v>
      </c>
      <c r="K10" t="s">
        <v>14</v>
      </c>
      <c r="L10">
        <v>30</v>
      </c>
      <c r="M10" s="2">
        <v>21211.339958419016</v>
      </c>
      <c r="N10" s="2">
        <v>707.04466528063381</v>
      </c>
      <c r="O10" s="13">
        <v>306.67415120270084</v>
      </c>
    </row>
    <row r="11" spans="1:15" x14ac:dyDescent="0.3">
      <c r="A11">
        <v>5</v>
      </c>
      <c r="B11">
        <v>698.52887589785803</v>
      </c>
      <c r="C11">
        <v>74.269669031478898</v>
      </c>
      <c r="D11">
        <v>0.20587227272727199</v>
      </c>
      <c r="E11">
        <v>0.20137336363636299</v>
      </c>
      <c r="F11">
        <v>0.32147635294117599</v>
      </c>
      <c r="G11">
        <v>23.551280146443499</v>
      </c>
      <c r="K11" t="s">
        <v>15</v>
      </c>
      <c r="L11">
        <v>30</v>
      </c>
      <c r="M11" s="2">
        <v>2231.5943573033674</v>
      </c>
      <c r="N11" s="2">
        <v>74.386478576778913</v>
      </c>
      <c r="O11" s="13">
        <v>0.18679488674286718</v>
      </c>
    </row>
    <row r="12" spans="1:15" x14ac:dyDescent="0.3">
      <c r="A12">
        <v>6</v>
      </c>
      <c r="B12">
        <v>704.86481675666505</v>
      </c>
      <c r="C12">
        <v>74.130200901305003</v>
      </c>
      <c r="D12">
        <v>0.206080181818181</v>
      </c>
      <c r="E12">
        <v>0.201304818181818</v>
      </c>
      <c r="F12">
        <v>0.32135641176470497</v>
      </c>
      <c r="G12">
        <v>23.592006820920499</v>
      </c>
      <c r="K12" t="s">
        <v>16</v>
      </c>
      <c r="L12">
        <v>30</v>
      </c>
      <c r="M12" s="2">
        <v>6.1792584545454394</v>
      </c>
      <c r="N12" s="2">
        <v>0.20597528181818131</v>
      </c>
      <c r="O12" s="13">
        <v>3.6413430683948008E-7</v>
      </c>
    </row>
    <row r="13" spans="1:15" x14ac:dyDescent="0.3">
      <c r="A13">
        <v>7</v>
      </c>
      <c r="B13">
        <v>743.28520316625895</v>
      </c>
      <c r="C13">
        <v>74.040257012813498</v>
      </c>
      <c r="D13">
        <v>0.20579763636363599</v>
      </c>
      <c r="E13">
        <v>0.20167045454545399</v>
      </c>
      <c r="F13">
        <v>0.32135888235294102</v>
      </c>
      <c r="G13">
        <v>23.621894845188201</v>
      </c>
      <c r="K13" t="s">
        <v>17</v>
      </c>
      <c r="L13">
        <v>30</v>
      </c>
      <c r="M13" s="2">
        <v>6.0225936636363473</v>
      </c>
      <c r="N13" s="2">
        <v>0.20075312212121157</v>
      </c>
      <c r="O13" s="13">
        <v>1.3245730416060376E-5</v>
      </c>
    </row>
    <row r="14" spans="1:15" x14ac:dyDescent="0.3">
      <c r="A14">
        <v>8</v>
      </c>
      <c r="B14">
        <v>731.43428904978305</v>
      </c>
      <c r="C14">
        <v>74.222798455262406</v>
      </c>
      <c r="D14">
        <v>0.20588809090908999</v>
      </c>
      <c r="E14">
        <v>0.20097345454545401</v>
      </c>
      <c r="F14">
        <v>0.32149970588235299</v>
      </c>
      <c r="G14">
        <v>23.712407850124801</v>
      </c>
      <c r="K14" t="s">
        <v>19</v>
      </c>
      <c r="L14">
        <v>30</v>
      </c>
      <c r="M14" s="2">
        <v>9.6671371764705736</v>
      </c>
      <c r="N14" s="2">
        <v>0.32223790588235246</v>
      </c>
      <c r="O14" s="13">
        <v>3.837651479774211E-7</v>
      </c>
    </row>
    <row r="15" spans="1:15" ht="15" thickBot="1" x14ac:dyDescent="0.35">
      <c r="A15">
        <v>9</v>
      </c>
      <c r="B15">
        <v>719.35358129818701</v>
      </c>
      <c r="C15">
        <v>74.280216213877495</v>
      </c>
      <c r="D15">
        <v>0.205409363636363</v>
      </c>
      <c r="E15">
        <v>0.20115218181818101</v>
      </c>
      <c r="F15">
        <v>0.32178058823529399</v>
      </c>
      <c r="G15">
        <v>23.736091553156101</v>
      </c>
      <c r="K15" s="7" t="s">
        <v>20</v>
      </c>
      <c r="L15" s="7">
        <v>30</v>
      </c>
      <c r="M15" s="10">
        <v>709.82910335872043</v>
      </c>
      <c r="N15" s="10">
        <v>23.660970111957347</v>
      </c>
      <c r="O15" s="14">
        <v>8.2991741809591117E-3</v>
      </c>
    </row>
    <row r="16" spans="1:15" x14ac:dyDescent="0.3">
      <c r="A16">
        <v>10</v>
      </c>
      <c r="B16">
        <v>713.21987343640603</v>
      </c>
      <c r="C16">
        <v>74.236266284897894</v>
      </c>
      <c r="D16">
        <v>0.20513109090909001</v>
      </c>
      <c r="E16">
        <v>0.20139609090909</v>
      </c>
      <c r="F16">
        <v>0.32162682352941102</v>
      </c>
      <c r="G16">
        <v>23.709983063333301</v>
      </c>
    </row>
    <row r="17" spans="1:17" x14ac:dyDescent="0.3">
      <c r="A17">
        <v>11</v>
      </c>
      <c r="B17">
        <v>721.86916210857703</v>
      </c>
      <c r="C17">
        <v>74.127636838191194</v>
      </c>
      <c r="D17">
        <v>0.20607227272727199</v>
      </c>
      <c r="E17">
        <v>0.201286545454545</v>
      </c>
      <c r="F17">
        <v>0.32246294117647001</v>
      </c>
      <c r="G17">
        <v>23.723755887593601</v>
      </c>
    </row>
    <row r="18" spans="1:17" ht="15" thickBot="1" x14ac:dyDescent="0.35">
      <c r="A18">
        <v>12</v>
      </c>
      <c r="B18">
        <v>712.98282061259499</v>
      </c>
      <c r="C18">
        <v>74.0512345734532</v>
      </c>
      <c r="D18">
        <v>0.205274727272727</v>
      </c>
      <c r="E18">
        <v>0.201542454545454</v>
      </c>
      <c r="F18">
        <v>0.32254470588235201</v>
      </c>
      <c r="G18">
        <v>23.5649391518456</v>
      </c>
      <c r="K18" t="s">
        <v>354</v>
      </c>
    </row>
    <row r="19" spans="1:17" x14ac:dyDescent="0.3">
      <c r="A19">
        <v>13</v>
      </c>
      <c r="B19">
        <v>732.45234065049203</v>
      </c>
      <c r="C19">
        <v>74.666349578775495</v>
      </c>
      <c r="D19">
        <v>0.205300727272727</v>
      </c>
      <c r="E19">
        <v>0.20158781818181801</v>
      </c>
      <c r="F19">
        <v>0.32234494117647</v>
      </c>
      <c r="G19">
        <v>23.706833060833301</v>
      </c>
      <c r="K19" s="8" t="s">
        <v>355</v>
      </c>
      <c r="L19" s="8" t="s">
        <v>356</v>
      </c>
      <c r="M19" s="8" t="s">
        <v>357</v>
      </c>
      <c r="N19" s="8" t="s">
        <v>358</v>
      </c>
      <c r="O19" s="8" t="s">
        <v>359</v>
      </c>
      <c r="P19" s="8" t="s">
        <v>360</v>
      </c>
      <c r="Q19" s="8" t="s">
        <v>361</v>
      </c>
    </row>
    <row r="20" spans="1:17" x14ac:dyDescent="0.3">
      <c r="A20">
        <v>14</v>
      </c>
      <c r="B20">
        <v>693.75779437550796</v>
      </c>
      <c r="C20">
        <v>74.790315679706595</v>
      </c>
      <c r="D20">
        <v>0.20582963636363599</v>
      </c>
      <c r="E20">
        <v>0.201655454545454</v>
      </c>
      <c r="F20">
        <v>0.321854588235294</v>
      </c>
      <c r="G20">
        <v>23.527643010915199</v>
      </c>
      <c r="K20" t="s">
        <v>362</v>
      </c>
      <c r="L20" s="2">
        <v>11933427.981940294</v>
      </c>
      <c r="M20">
        <v>5</v>
      </c>
      <c r="N20" s="2">
        <v>2386685.5963880587</v>
      </c>
      <c r="O20" s="2">
        <v>46665.194203514257</v>
      </c>
      <c r="P20" s="9">
        <v>4.800447401311914E-270</v>
      </c>
      <c r="Q20" s="2">
        <v>2.2660617090957911</v>
      </c>
    </row>
    <row r="21" spans="1:17" x14ac:dyDescent="0.3">
      <c r="A21">
        <v>15</v>
      </c>
      <c r="B21">
        <v>691.58968683287299</v>
      </c>
      <c r="C21">
        <v>74.987086374356196</v>
      </c>
      <c r="D21">
        <v>0.206123545454545</v>
      </c>
      <c r="E21">
        <v>0.18156029999999901</v>
      </c>
      <c r="F21">
        <v>0.322651176470588</v>
      </c>
      <c r="G21">
        <v>23.7546259186722</v>
      </c>
      <c r="K21" t="s">
        <v>363</v>
      </c>
      <c r="L21" s="2">
        <v>8899.2085184603839</v>
      </c>
      <c r="M21">
        <v>174</v>
      </c>
      <c r="N21" s="2">
        <v>51.144876542875771</v>
      </c>
    </row>
    <row r="22" spans="1:17" x14ac:dyDescent="0.3">
      <c r="A22">
        <v>16</v>
      </c>
      <c r="B22">
        <v>720.13672409582796</v>
      </c>
      <c r="C22">
        <v>74.226430324618704</v>
      </c>
      <c r="D22">
        <v>0.20519381818181801</v>
      </c>
      <c r="E22">
        <v>0.201097454545454</v>
      </c>
      <c r="F22">
        <v>0.32285364705882302</v>
      </c>
      <c r="G22">
        <v>23.567834500838899</v>
      </c>
      <c r="L22" s="2"/>
    </row>
    <row r="23" spans="1:17" ht="15" thickBot="1" x14ac:dyDescent="0.35">
      <c r="A23">
        <v>17</v>
      </c>
      <c r="B23">
        <v>730.13386616785397</v>
      </c>
      <c r="C23">
        <v>74.577946978284402</v>
      </c>
      <c r="D23">
        <v>0.205661272727272</v>
      </c>
      <c r="E23">
        <v>0.201902454545454</v>
      </c>
      <c r="F23">
        <v>0.32252164705882302</v>
      </c>
      <c r="G23">
        <v>23.5659669815436</v>
      </c>
      <c r="K23" s="7" t="s">
        <v>364</v>
      </c>
      <c r="L23" s="10">
        <v>11942327.190458754</v>
      </c>
      <c r="M23" s="7">
        <v>179</v>
      </c>
      <c r="N23" s="7"/>
      <c r="O23" s="7"/>
      <c r="P23" s="7"/>
      <c r="Q23" s="7"/>
    </row>
    <row r="24" spans="1:17" x14ac:dyDescent="0.3">
      <c r="A24">
        <v>18</v>
      </c>
      <c r="B24">
        <v>715.36630304610503</v>
      </c>
      <c r="C24">
        <v>74.455616693166306</v>
      </c>
      <c r="D24">
        <v>0.208142181818181</v>
      </c>
      <c r="E24">
        <v>0.201631454545454</v>
      </c>
      <c r="F24">
        <v>0.32153799999999999</v>
      </c>
      <c r="G24">
        <v>23.590979794462999</v>
      </c>
    </row>
    <row r="25" spans="1:17" x14ac:dyDescent="0.3">
      <c r="A25">
        <v>19</v>
      </c>
      <c r="B25">
        <v>720.05002557895705</v>
      </c>
      <c r="C25">
        <v>74.403371826205401</v>
      </c>
      <c r="D25">
        <v>0.20647081818181801</v>
      </c>
      <c r="E25">
        <v>0.20089827272727201</v>
      </c>
      <c r="F25">
        <v>0.32182994117647001</v>
      </c>
      <c r="G25">
        <v>23.811966210657701</v>
      </c>
    </row>
    <row r="26" spans="1:17" x14ac:dyDescent="0.3">
      <c r="A26">
        <v>20</v>
      </c>
      <c r="B26">
        <v>676.63448972401704</v>
      </c>
      <c r="C26">
        <v>74.495818809627394</v>
      </c>
      <c r="D26">
        <v>0.20630154545454499</v>
      </c>
      <c r="E26">
        <v>0.20206372727272701</v>
      </c>
      <c r="F26">
        <v>0.322462588235294</v>
      </c>
      <c r="G26">
        <v>23.768011044962499</v>
      </c>
    </row>
    <row r="27" spans="1:17" x14ac:dyDescent="0.3">
      <c r="A27">
        <v>21</v>
      </c>
      <c r="B27">
        <v>686.35237217090696</v>
      </c>
      <c r="C27">
        <v>74.551499673286102</v>
      </c>
      <c r="D27">
        <v>0.20605354545454499</v>
      </c>
      <c r="E27">
        <v>0.201648545454545</v>
      </c>
      <c r="F27">
        <v>0.32303041176470498</v>
      </c>
      <c r="G27">
        <v>23.723549118333299</v>
      </c>
    </row>
    <row r="28" spans="1:17" x14ac:dyDescent="0.3">
      <c r="A28">
        <v>22</v>
      </c>
      <c r="B28">
        <v>724.38266439502002</v>
      </c>
      <c r="C28">
        <v>74.3555154782253</v>
      </c>
      <c r="D28">
        <v>0.20585263636363599</v>
      </c>
      <c r="E28">
        <v>0.20170872727272701</v>
      </c>
      <c r="F28">
        <v>0.32214417647058802</v>
      </c>
      <c r="G28">
        <v>23.6384500744769</v>
      </c>
    </row>
    <row r="29" spans="1:17" x14ac:dyDescent="0.3">
      <c r="A29">
        <v>23</v>
      </c>
      <c r="B29">
        <v>680.04582005754401</v>
      </c>
      <c r="C29">
        <v>74.769010518860199</v>
      </c>
      <c r="D29">
        <v>0.20626527272727199</v>
      </c>
      <c r="E29">
        <v>0.201300363636363</v>
      </c>
      <c r="F29">
        <v>0.322831647058823</v>
      </c>
      <c r="G29">
        <v>23.723629970000001</v>
      </c>
    </row>
    <row r="30" spans="1:17" x14ac:dyDescent="0.3">
      <c r="A30">
        <v>24</v>
      </c>
      <c r="B30">
        <v>690.84116368132402</v>
      </c>
      <c r="C30">
        <v>74.567363050461196</v>
      </c>
      <c r="D30">
        <v>0.20632618181818099</v>
      </c>
      <c r="E30">
        <v>0.20152599999999901</v>
      </c>
      <c r="F30">
        <v>0.32243052941176398</v>
      </c>
      <c r="G30">
        <v>23.584041927852301</v>
      </c>
    </row>
    <row r="31" spans="1:17" x14ac:dyDescent="0.3">
      <c r="A31">
        <v>25</v>
      </c>
      <c r="B31">
        <v>702.67594206700301</v>
      </c>
      <c r="C31">
        <v>74.835008586132105</v>
      </c>
      <c r="D31">
        <v>0.20615136363636299</v>
      </c>
      <c r="E31">
        <v>0.201156454545454</v>
      </c>
      <c r="F31">
        <v>0.32271288235294099</v>
      </c>
      <c r="G31">
        <v>23.557217400503699</v>
      </c>
    </row>
    <row r="32" spans="1:17" x14ac:dyDescent="0.3">
      <c r="A32">
        <v>26</v>
      </c>
      <c r="B32">
        <v>703.18378546025201</v>
      </c>
      <c r="C32">
        <v>74.745942446918207</v>
      </c>
      <c r="D32">
        <v>0.20600372727272701</v>
      </c>
      <c r="E32">
        <v>0.201719727272727</v>
      </c>
      <c r="F32">
        <v>0.32244782352941098</v>
      </c>
      <c r="G32">
        <v>23.7445907518734</v>
      </c>
    </row>
    <row r="33" spans="1:15" x14ac:dyDescent="0.3">
      <c r="A33">
        <v>27</v>
      </c>
      <c r="B33">
        <v>693.69057619814498</v>
      </c>
      <c r="C33">
        <v>74.458949348501307</v>
      </c>
      <c r="D33">
        <v>0.20581072727272701</v>
      </c>
      <c r="E33">
        <v>0.20148663636363601</v>
      </c>
      <c r="F33">
        <v>0.32318194117646998</v>
      </c>
      <c r="G33">
        <v>23.746729016597499</v>
      </c>
    </row>
    <row r="34" spans="1:15" x14ac:dyDescent="0.3">
      <c r="A34">
        <v>28</v>
      </c>
      <c r="B34">
        <v>727.51205844084302</v>
      </c>
      <c r="C34">
        <v>74.828277349877894</v>
      </c>
      <c r="D34">
        <v>0.20603445454545399</v>
      </c>
      <c r="E34">
        <v>0.201562181818181</v>
      </c>
      <c r="F34">
        <v>0.32395311764705798</v>
      </c>
      <c r="G34">
        <v>23.698703325</v>
      </c>
    </row>
    <row r="35" spans="1:15" x14ac:dyDescent="0.3">
      <c r="A35">
        <v>29</v>
      </c>
      <c r="B35">
        <v>690.94543725275901</v>
      </c>
      <c r="C35">
        <v>75.159266903809694</v>
      </c>
      <c r="D35">
        <v>0.20624063636363599</v>
      </c>
      <c r="E35">
        <v>0.20147509090908999</v>
      </c>
      <c r="F35">
        <v>0.32213311764705799</v>
      </c>
      <c r="G35">
        <v>23.7465478347176</v>
      </c>
    </row>
    <row r="36" spans="1:15" x14ac:dyDescent="0.3">
      <c r="A36">
        <v>30</v>
      </c>
      <c r="B36">
        <v>679.98380591906198</v>
      </c>
      <c r="C36">
        <v>74.683135170837801</v>
      </c>
      <c r="D36">
        <v>0.20583490909090901</v>
      </c>
      <c r="E36">
        <v>0.20090563636363601</v>
      </c>
      <c r="F36">
        <v>0.32264776470588202</v>
      </c>
      <c r="G36">
        <v>23.727841084929199</v>
      </c>
    </row>
    <row r="40" spans="1:15" x14ac:dyDescent="0.3">
      <c r="A40" s="1" t="s">
        <v>337</v>
      </c>
    </row>
    <row r="42" spans="1:15" x14ac:dyDescent="0.3">
      <c r="A42" t="s">
        <v>345</v>
      </c>
      <c r="B42" t="s">
        <v>182</v>
      </c>
      <c r="C42" t="s">
        <v>213</v>
      </c>
      <c r="D42" t="s">
        <v>244</v>
      </c>
      <c r="E42" t="s">
        <v>275</v>
      </c>
      <c r="F42" t="s">
        <v>306</v>
      </c>
      <c r="K42" t="s">
        <v>347</v>
      </c>
    </row>
    <row r="43" spans="1:15" x14ac:dyDescent="0.3">
      <c r="A43">
        <v>1</v>
      </c>
      <c r="B43">
        <v>1.2744249999999899</v>
      </c>
      <c r="C43">
        <v>29.926983681084501</v>
      </c>
      <c r="D43">
        <v>2.2370286513761402</v>
      </c>
      <c r="E43">
        <v>3.88223305263157</v>
      </c>
      <c r="F43">
        <v>119.38870141714899</v>
      </c>
    </row>
    <row r="44" spans="1:15" ht="15" thickBot="1" x14ac:dyDescent="0.35">
      <c r="A44">
        <v>2</v>
      </c>
      <c r="B44">
        <v>1.24955539130434</v>
      </c>
      <c r="C44">
        <v>30.077829707018601</v>
      </c>
      <c r="D44">
        <v>2.2669014375000001</v>
      </c>
      <c r="E44">
        <v>3.7575627956989202</v>
      </c>
      <c r="F44">
        <v>119.832644006813</v>
      </c>
      <c r="K44" t="s">
        <v>348</v>
      </c>
    </row>
    <row r="45" spans="1:15" x14ac:dyDescent="0.3">
      <c r="A45">
        <v>3</v>
      </c>
      <c r="B45">
        <v>1.2828947164179101</v>
      </c>
      <c r="C45">
        <v>29.529831766710299</v>
      </c>
      <c r="D45">
        <v>2.2087962962962902</v>
      </c>
      <c r="E45">
        <v>3.7977900106951799</v>
      </c>
      <c r="F45">
        <v>120.004465590382</v>
      </c>
      <c r="K45" s="8" t="s">
        <v>349</v>
      </c>
      <c r="L45" s="8" t="s">
        <v>350</v>
      </c>
      <c r="M45" s="8" t="s">
        <v>351</v>
      </c>
      <c r="N45" s="8" t="s">
        <v>352</v>
      </c>
      <c r="O45" s="8" t="s">
        <v>353</v>
      </c>
    </row>
    <row r="46" spans="1:15" x14ac:dyDescent="0.3">
      <c r="A46">
        <v>4</v>
      </c>
      <c r="B46">
        <v>1.29859179365079</v>
      </c>
      <c r="C46">
        <v>30.2540531341463</v>
      </c>
      <c r="D46">
        <v>2.2094599999999902</v>
      </c>
      <c r="E46">
        <v>3.8061889731182799</v>
      </c>
      <c r="F46">
        <v>124.305906610481</v>
      </c>
      <c r="K46" t="s">
        <v>182</v>
      </c>
      <c r="L46">
        <v>30</v>
      </c>
      <c r="M46" s="2">
        <v>38.750215936332573</v>
      </c>
      <c r="N46" s="2">
        <v>1.291673864544419</v>
      </c>
      <c r="O46" s="6">
        <v>4.4454955485950874E-4</v>
      </c>
    </row>
    <row r="47" spans="1:15" x14ac:dyDescent="0.3">
      <c r="A47">
        <v>5</v>
      </c>
      <c r="B47">
        <v>1.3202852537313401</v>
      </c>
      <c r="C47">
        <v>30.274883069364101</v>
      </c>
      <c r="D47">
        <v>2.2536144363636299</v>
      </c>
      <c r="E47">
        <v>3.87453499470899</v>
      </c>
      <c r="F47">
        <v>120.35015071715399</v>
      </c>
      <c r="K47" t="s">
        <v>213</v>
      </c>
      <c r="L47">
        <v>30</v>
      </c>
      <c r="M47" s="2">
        <v>910.84284219130734</v>
      </c>
      <c r="N47" s="2">
        <v>30.361428073043577</v>
      </c>
      <c r="O47" s="6">
        <v>9.8390970008574122E-2</v>
      </c>
    </row>
    <row r="48" spans="1:15" x14ac:dyDescent="0.3">
      <c r="A48">
        <v>6</v>
      </c>
      <c r="B48">
        <v>1.2575482950819601</v>
      </c>
      <c r="C48">
        <v>30.129517786313698</v>
      </c>
      <c r="D48">
        <v>2.2142235648148101</v>
      </c>
      <c r="E48">
        <v>3.9339831249999899</v>
      </c>
      <c r="F48">
        <v>119.809641040184</v>
      </c>
      <c r="K48" t="s">
        <v>244</v>
      </c>
      <c r="L48">
        <v>30</v>
      </c>
      <c r="M48" s="2">
        <v>66.53632204858711</v>
      </c>
      <c r="N48" s="2">
        <v>2.2178774016195701</v>
      </c>
      <c r="O48" s="6">
        <v>9.599762737573128E-4</v>
      </c>
    </row>
    <row r="49" spans="1:17" x14ac:dyDescent="0.3">
      <c r="A49">
        <v>7</v>
      </c>
      <c r="B49">
        <v>1.2949906363636301</v>
      </c>
      <c r="C49">
        <v>30.165820948353701</v>
      </c>
      <c r="D49">
        <v>2.2216124403669699</v>
      </c>
      <c r="E49">
        <v>3.90351078010471</v>
      </c>
      <c r="F49">
        <v>120.36850848275201</v>
      </c>
      <c r="K49" t="s">
        <v>275</v>
      </c>
      <c r="L49">
        <v>30</v>
      </c>
      <c r="M49" s="2">
        <v>115.46144167977636</v>
      </c>
      <c r="N49" s="2">
        <v>3.8487147226592118</v>
      </c>
      <c r="O49" s="6">
        <v>4.0122386148166373E-3</v>
      </c>
    </row>
    <row r="50" spans="1:17" ht="15" thickBot="1" x14ac:dyDescent="0.35">
      <c r="A50">
        <v>8</v>
      </c>
      <c r="B50">
        <v>1.2563043934426199</v>
      </c>
      <c r="C50">
        <v>30.094583903559801</v>
      </c>
      <c r="D50">
        <v>2.1691445566037699</v>
      </c>
      <c r="E50">
        <v>3.8619861063829699</v>
      </c>
      <c r="F50">
        <v>120.273571041163</v>
      </c>
      <c r="K50" s="7" t="s">
        <v>306</v>
      </c>
      <c r="L50" s="7">
        <v>30</v>
      </c>
      <c r="M50" s="10">
        <v>3615.0910470185459</v>
      </c>
      <c r="N50" s="10">
        <v>120.50303490061819</v>
      </c>
      <c r="O50" s="12">
        <v>0.7673273472858384</v>
      </c>
    </row>
    <row r="51" spans="1:17" x14ac:dyDescent="0.3">
      <c r="A51">
        <v>9</v>
      </c>
      <c r="B51">
        <v>1.2798712388059701</v>
      </c>
      <c r="C51">
        <v>30.334543013496098</v>
      </c>
      <c r="D51">
        <v>2.17212011926605</v>
      </c>
      <c r="E51">
        <v>3.8178126774193499</v>
      </c>
      <c r="F51">
        <v>120.622013863459</v>
      </c>
    </row>
    <row r="52" spans="1:17" x14ac:dyDescent="0.3">
      <c r="A52">
        <v>10</v>
      </c>
      <c r="B52">
        <v>1.2784840161290301</v>
      </c>
      <c r="C52">
        <v>30.328450633911299</v>
      </c>
      <c r="D52">
        <v>2.2372996788990802</v>
      </c>
      <c r="E52">
        <v>3.9203181250000001</v>
      </c>
      <c r="F52">
        <v>120.10293900731099</v>
      </c>
    </row>
    <row r="53" spans="1:17" ht="15" thickBot="1" x14ac:dyDescent="0.35">
      <c r="A53">
        <v>11</v>
      </c>
      <c r="B53">
        <v>1.3155315074626801</v>
      </c>
      <c r="C53">
        <v>30.1920151931524</v>
      </c>
      <c r="D53">
        <v>2.1721451981132001</v>
      </c>
      <c r="E53">
        <v>3.8578230744680799</v>
      </c>
      <c r="F53">
        <v>120.251710141278</v>
      </c>
      <c r="K53" t="s">
        <v>354</v>
      </c>
    </row>
    <row r="54" spans="1:17" x14ac:dyDescent="0.3">
      <c r="A54">
        <v>12</v>
      </c>
      <c r="B54">
        <v>1.30289184126984</v>
      </c>
      <c r="C54">
        <v>30.463174049232698</v>
      </c>
      <c r="D54">
        <v>2.2692110625000002</v>
      </c>
      <c r="E54">
        <v>3.9025307656249999</v>
      </c>
      <c r="F54">
        <v>120.169942254427</v>
      </c>
      <c r="K54" s="8" t="s">
        <v>355</v>
      </c>
      <c r="L54" s="8" t="s">
        <v>356</v>
      </c>
      <c r="M54" s="8" t="s">
        <v>357</v>
      </c>
      <c r="N54" s="8" t="s">
        <v>358</v>
      </c>
      <c r="O54" s="8" t="s">
        <v>359</v>
      </c>
      <c r="P54" s="8" t="s">
        <v>360</v>
      </c>
      <c r="Q54" s="8" t="s">
        <v>361</v>
      </c>
    </row>
    <row r="55" spans="1:17" x14ac:dyDescent="0.3">
      <c r="A55">
        <v>13</v>
      </c>
      <c r="B55">
        <v>1.3238481791044701</v>
      </c>
      <c r="C55">
        <v>30.419804573529401</v>
      </c>
      <c r="D55">
        <v>2.2550884090909</v>
      </c>
      <c r="E55">
        <v>3.7711211467391301</v>
      </c>
      <c r="F55">
        <v>120.153625805148</v>
      </c>
      <c r="K55" t="s">
        <v>362</v>
      </c>
      <c r="L55" s="2">
        <v>313719.34048153163</v>
      </c>
      <c r="M55">
        <v>4</v>
      </c>
      <c r="N55" s="2">
        <v>78429.835120382908</v>
      </c>
      <c r="O55" s="2">
        <v>450158.8603452954</v>
      </c>
      <c r="P55" s="9">
        <v>1.1079688198758073E-295</v>
      </c>
      <c r="Q55" s="2">
        <v>2.4340651357887815</v>
      </c>
    </row>
    <row r="56" spans="1:17" x14ac:dyDescent="0.3">
      <c r="A56">
        <v>14</v>
      </c>
      <c r="B56">
        <v>1.2961199999999999</v>
      </c>
      <c r="C56">
        <v>30.779879131728901</v>
      </c>
      <c r="D56">
        <v>2.2297130438596402</v>
      </c>
      <c r="E56">
        <v>3.8013723351351301</v>
      </c>
      <c r="F56">
        <v>120.36681034121</v>
      </c>
      <c r="K56" t="s">
        <v>363</v>
      </c>
      <c r="L56" s="2">
        <v>25.262917370397535</v>
      </c>
      <c r="M56">
        <v>145</v>
      </c>
      <c r="N56" s="2">
        <v>0.17422701634756921</v>
      </c>
    </row>
    <row r="57" spans="1:17" x14ac:dyDescent="0.3">
      <c r="A57">
        <v>15</v>
      </c>
      <c r="B57">
        <v>1.2976610735294101</v>
      </c>
      <c r="C57">
        <v>30.498173012795899</v>
      </c>
      <c r="D57">
        <v>2.1964866448598102</v>
      </c>
      <c r="E57">
        <v>3.8692993227513202</v>
      </c>
      <c r="F57">
        <v>120.242396209943</v>
      </c>
      <c r="L57" s="2"/>
    </row>
    <row r="58" spans="1:17" ht="15" thickBot="1" x14ac:dyDescent="0.35">
      <c r="A58">
        <v>16</v>
      </c>
      <c r="B58">
        <v>1.27737741935483</v>
      </c>
      <c r="C58">
        <v>30.568129729885001</v>
      </c>
      <c r="D58">
        <v>2.2199176666666598</v>
      </c>
      <c r="E58">
        <v>3.8256432956989199</v>
      </c>
      <c r="F58">
        <v>120.48829349719</v>
      </c>
      <c r="K58" s="7" t="s">
        <v>364</v>
      </c>
      <c r="L58" s="10">
        <v>313744.60339890205</v>
      </c>
      <c r="M58" s="7">
        <v>149</v>
      </c>
      <c r="N58" s="7"/>
      <c r="O58" s="7"/>
      <c r="P58" s="7"/>
      <c r="Q58" s="7"/>
    </row>
    <row r="59" spans="1:17" x14ac:dyDescent="0.3">
      <c r="A59">
        <v>17</v>
      </c>
      <c r="B59">
        <v>1.30465947761194</v>
      </c>
      <c r="C59">
        <v>30.8712333301707</v>
      </c>
      <c r="D59">
        <v>2.1975388504672799</v>
      </c>
      <c r="E59">
        <v>3.8133354354838702</v>
      </c>
      <c r="F59">
        <v>120.356886267154</v>
      </c>
    </row>
    <row r="60" spans="1:17" x14ac:dyDescent="0.3">
      <c r="A60">
        <v>18</v>
      </c>
      <c r="B60">
        <v>1.27954856451612</v>
      </c>
      <c r="C60">
        <v>30.8997101817606</v>
      </c>
      <c r="D60">
        <v>2.1500797523809498</v>
      </c>
      <c r="E60">
        <v>3.8129423829787199</v>
      </c>
      <c r="F60">
        <v>120.57940584746</v>
      </c>
    </row>
    <row r="61" spans="1:17" x14ac:dyDescent="0.3">
      <c r="A61">
        <v>19</v>
      </c>
      <c r="B61">
        <v>1.3136259264705801</v>
      </c>
      <c r="C61">
        <v>30.563837893929701</v>
      </c>
      <c r="D61">
        <v>2.2582691491228002</v>
      </c>
      <c r="E61">
        <v>3.9674369948186499</v>
      </c>
      <c r="F61">
        <v>121.22701449075799</v>
      </c>
    </row>
    <row r="62" spans="1:17" x14ac:dyDescent="0.3">
      <c r="A62">
        <v>20</v>
      </c>
      <c r="B62">
        <v>1.2786762580645099</v>
      </c>
      <c r="C62">
        <v>30.069527294805098</v>
      </c>
      <c r="D62">
        <v>2.1958344672897101</v>
      </c>
      <c r="E62">
        <v>3.8621682074467998</v>
      </c>
      <c r="F62">
        <v>120.223449957337</v>
      </c>
    </row>
    <row r="63" spans="1:17" x14ac:dyDescent="0.3">
      <c r="A63">
        <v>21</v>
      </c>
      <c r="B63">
        <v>1.2652232343750001</v>
      </c>
      <c r="C63">
        <v>30.383372273954901</v>
      </c>
      <c r="D63">
        <v>2.2195448333333299</v>
      </c>
      <c r="E63">
        <v>3.67859729608938</v>
      </c>
      <c r="F63">
        <v>122.428114303882</v>
      </c>
    </row>
    <row r="64" spans="1:17" x14ac:dyDescent="0.3">
      <c r="A64">
        <v>22</v>
      </c>
      <c r="B64">
        <v>1.29936898412698</v>
      </c>
      <c r="C64">
        <v>30.428538567116199</v>
      </c>
      <c r="D64">
        <v>2.17821563636363</v>
      </c>
      <c r="E64">
        <v>3.9034049157894701</v>
      </c>
      <c r="F64">
        <v>120.361621937351</v>
      </c>
    </row>
    <row r="65" spans="1:6" x14ac:dyDescent="0.3">
      <c r="A65">
        <v>23</v>
      </c>
      <c r="B65">
        <v>1.3044872352941099</v>
      </c>
      <c r="C65">
        <v>30.026280551007101</v>
      </c>
      <c r="D65">
        <v>2.1990878411214898</v>
      </c>
      <c r="E65">
        <v>3.89811837368421</v>
      </c>
      <c r="F65">
        <v>120.652286593771</v>
      </c>
    </row>
    <row r="66" spans="1:6" x14ac:dyDescent="0.3">
      <c r="A66">
        <v>24</v>
      </c>
      <c r="B66">
        <v>1.2970522698412701</v>
      </c>
      <c r="C66">
        <v>30.2055245750323</v>
      </c>
      <c r="D66">
        <v>2.2402265535714201</v>
      </c>
      <c r="E66">
        <v>3.89653948947368</v>
      </c>
      <c r="F66">
        <v>120.445341243914</v>
      </c>
    </row>
    <row r="67" spans="1:6" x14ac:dyDescent="0.3">
      <c r="A67">
        <v>25</v>
      </c>
      <c r="B67">
        <v>1.3431904411764699</v>
      </c>
      <c r="C67">
        <v>30.365956366495499</v>
      </c>
      <c r="D67">
        <v>2.2184078796296198</v>
      </c>
      <c r="E67">
        <v>3.8434621904761901</v>
      </c>
      <c r="F67">
        <v>120.507573189308</v>
      </c>
    </row>
    <row r="68" spans="1:6" x14ac:dyDescent="0.3">
      <c r="A68">
        <v>26</v>
      </c>
      <c r="B68">
        <v>1.2786507903225801</v>
      </c>
      <c r="C68">
        <v>30.9418507365761</v>
      </c>
      <c r="D68">
        <v>2.2411836785714199</v>
      </c>
      <c r="E68">
        <v>3.7872710760869501</v>
      </c>
      <c r="F68">
        <v>120.471670376828</v>
      </c>
    </row>
    <row r="69" spans="1:6" x14ac:dyDescent="0.3">
      <c r="A69">
        <v>27</v>
      </c>
      <c r="B69">
        <v>1.29996320895522</v>
      </c>
      <c r="C69">
        <v>30.697583418367302</v>
      </c>
      <c r="D69">
        <v>2.22323830555555</v>
      </c>
      <c r="E69">
        <v>3.82762496236559</v>
      </c>
      <c r="F69">
        <v>120.16844788567001</v>
      </c>
    </row>
    <row r="70" spans="1:6" x14ac:dyDescent="0.3">
      <c r="A70">
        <v>28</v>
      </c>
      <c r="B70">
        <v>1.2788302580645099</v>
      </c>
      <c r="C70">
        <v>30.603364719029301</v>
      </c>
      <c r="D70">
        <v>2.2567619181818102</v>
      </c>
      <c r="E70">
        <v>3.7627676994535499</v>
      </c>
      <c r="F70">
        <v>120.094545173542</v>
      </c>
    </row>
    <row r="71" spans="1:6" x14ac:dyDescent="0.3">
      <c r="A71">
        <v>29</v>
      </c>
      <c r="B71">
        <v>1.3036763731343199</v>
      </c>
      <c r="C71">
        <v>30.6015028586956</v>
      </c>
      <c r="D71">
        <v>2.22593376146789</v>
      </c>
      <c r="E71">
        <v>3.9138991473684199</v>
      </c>
      <c r="F71">
        <v>120.272063478335</v>
      </c>
    </row>
    <row r="72" spans="1:6" x14ac:dyDescent="0.3">
      <c r="A72">
        <v>30</v>
      </c>
      <c r="B72">
        <v>1.29688215873015</v>
      </c>
      <c r="C72">
        <v>30.146886090084202</v>
      </c>
      <c r="D72">
        <v>2.1992362149532698</v>
      </c>
      <c r="E72">
        <v>3.9101629270833298</v>
      </c>
      <c r="F72">
        <v>120.571306247192</v>
      </c>
    </row>
    <row r="74" spans="1:6" x14ac:dyDescent="0.3">
      <c r="E74">
        <v>1E-3</v>
      </c>
    </row>
    <row r="75" spans="1:6" x14ac:dyDescent="0.3">
      <c r="B75" t="s">
        <v>714</v>
      </c>
    </row>
    <row r="76" spans="1:6" x14ac:dyDescent="0.3">
      <c r="B76" t="s">
        <v>365</v>
      </c>
      <c r="C76" t="s">
        <v>366</v>
      </c>
      <c r="D76" t="s">
        <v>367</v>
      </c>
      <c r="E76" t="s">
        <v>370</v>
      </c>
      <c r="F76" t="s">
        <v>371</v>
      </c>
    </row>
    <row r="77" spans="1:6" x14ac:dyDescent="0.3">
      <c r="A77" t="s">
        <v>180</v>
      </c>
      <c r="B77" t="s">
        <v>715</v>
      </c>
      <c r="C77" s="2">
        <f>O20</f>
        <v>46665.194203514257</v>
      </c>
      <c r="D77" s="9">
        <f>P20</f>
        <v>4.800447401311914E-270</v>
      </c>
      <c r="E77" t="str">
        <f>IF(D77&lt;0.05,"Significant","Not significant")</f>
        <v>Significant</v>
      </c>
      <c r="F77" t="str">
        <f>IF(D77&lt;0.001,"Very Significant","Not significant")</f>
        <v>Very Significant</v>
      </c>
    </row>
    <row r="78" spans="1:6" x14ac:dyDescent="0.3">
      <c r="A78" t="s">
        <v>337</v>
      </c>
      <c r="B78" t="s">
        <v>715</v>
      </c>
      <c r="C78" s="2">
        <f>O55</f>
        <v>450158.8603452954</v>
      </c>
      <c r="D78" s="9">
        <f>P55</f>
        <v>1.1079688198758073E-295</v>
      </c>
      <c r="E78" t="str">
        <f>IF(D78&lt;0.05,"Significant","Not significant")</f>
        <v>Significant</v>
      </c>
      <c r="F78" t="str">
        <f>IF(D78&lt;0.001,"Very Significant","Not significant")</f>
        <v>Very Significant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Power</vt:lpstr>
      <vt:lpstr>Runtime</vt:lpstr>
      <vt:lpstr>Energy</vt:lpstr>
      <vt:lpstr>Energy_raw</vt:lpstr>
      <vt:lpstr>Anova runtime</vt:lpstr>
      <vt:lpstr>Anova 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setiyo cahyono</dc:creator>
  <cp:lastModifiedBy>setiyo cahyono</cp:lastModifiedBy>
  <dcterms:created xsi:type="dcterms:W3CDTF">2026-04-24T15:53:34Z</dcterms:created>
  <dcterms:modified xsi:type="dcterms:W3CDTF">2026-04-26T12:24:06Z</dcterms:modified>
</cp:coreProperties>
</file>